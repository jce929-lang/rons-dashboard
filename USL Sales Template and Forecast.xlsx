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O:\EOSS\"/>
    </mc:Choice>
  </mc:AlternateContent>
  <xr:revisionPtr revIDLastSave="0" documentId="13_ncr:1_{1707C464-625E-4E76-A7F7-1AEBE41B46ED}" xr6:coauthVersionLast="47" xr6:coauthVersionMax="47" xr10:uidLastSave="{00000000-0000-0000-0000-000000000000}"/>
  <bookViews>
    <workbookView xWindow="-28920" yWindow="-120" windowWidth="29040" windowHeight="15720" activeTab="1" xr2:uid="{122BC6EC-3278-45EF-A35D-A9511FB4B1B3}"/>
  </bookViews>
  <sheets>
    <sheet name="Template" sheetId="1" r:id="rId1"/>
    <sheet name="Data and Foreca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7" i="3" l="1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Y6" i="3"/>
  <c r="Y5" i="3"/>
  <c r="Y4" i="3"/>
  <c r="Y3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AD31" i="3"/>
  <c r="AB31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" i="3"/>
  <c r="V69" i="3"/>
  <c r="U69" i="3"/>
  <c r="R69" i="3"/>
  <c r="Q69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" i="3"/>
  <c r="S28" i="3"/>
  <c r="S29" i="3"/>
  <c r="S30" i="3"/>
  <c r="S31" i="3"/>
  <c r="S27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" i="3"/>
  <c r="U34" i="3" l="1"/>
  <c r="AB34" i="3" s="1"/>
  <c r="V60" i="3"/>
  <c r="AD60" i="3" s="1"/>
  <c r="V48" i="3"/>
  <c r="AD48" i="3" s="1"/>
  <c r="V61" i="3"/>
  <c r="AD61" i="3" s="1"/>
  <c r="U56" i="3"/>
  <c r="AB56" i="3" s="1"/>
  <c r="U63" i="3"/>
  <c r="AB63" i="3" s="1"/>
  <c r="V45" i="3"/>
  <c r="AD45" i="3" s="1"/>
  <c r="U67" i="3"/>
  <c r="AB67" i="3" s="1"/>
  <c r="U54" i="3"/>
  <c r="AB54" i="3" s="1"/>
  <c r="U49" i="3"/>
  <c r="AB49" i="3" s="1"/>
  <c r="U62" i="3"/>
  <c r="AB62" i="3" s="1"/>
  <c r="U32" i="3"/>
  <c r="AB32" i="3" s="1"/>
  <c r="V38" i="3"/>
  <c r="AD38" i="3" s="1"/>
  <c r="U44" i="3"/>
  <c r="AB44" i="3" s="1"/>
  <c r="U45" i="3"/>
  <c r="AB45" i="3" s="1"/>
  <c r="V64" i="3"/>
  <c r="AD64" i="3" s="1"/>
  <c r="V35" i="3"/>
  <c r="AD35" i="3" s="1"/>
  <c r="V57" i="3" l="1"/>
  <c r="AD57" i="3" s="1"/>
  <c r="V49" i="3"/>
  <c r="AD49" i="3" s="1"/>
  <c r="V52" i="3"/>
  <c r="AD52" i="3" s="1"/>
  <c r="V40" i="3"/>
  <c r="AD40" i="3" s="1"/>
  <c r="V50" i="3"/>
  <c r="AD50" i="3" s="1"/>
  <c r="U58" i="3"/>
  <c r="AB58" i="3" s="1"/>
  <c r="V47" i="3"/>
  <c r="AD47" i="3" s="1"/>
  <c r="V66" i="3"/>
  <c r="AD66" i="3" s="1"/>
  <c r="V59" i="3"/>
  <c r="AD59" i="3" s="1"/>
  <c r="U48" i="3"/>
  <c r="AB48" i="3" s="1"/>
  <c r="V63" i="3"/>
  <c r="AD63" i="3" s="1"/>
  <c r="V43" i="3"/>
  <c r="AD43" i="3" s="1"/>
  <c r="U57" i="3"/>
  <c r="AB57" i="3" s="1"/>
  <c r="V56" i="3"/>
  <c r="AD56" i="3" s="1"/>
  <c r="U50" i="3"/>
  <c r="AB50" i="3" s="1"/>
  <c r="U41" i="3"/>
  <c r="AB41" i="3" s="1"/>
  <c r="V41" i="3"/>
  <c r="AD41" i="3" s="1"/>
  <c r="V34" i="3"/>
  <c r="AD34" i="3" s="1"/>
  <c r="U64" i="3"/>
  <c r="AB64" i="3" s="1"/>
  <c r="U53" i="3"/>
  <c r="AB53" i="3" s="1"/>
  <c r="U52" i="3"/>
  <c r="AB52" i="3" s="1"/>
  <c r="U65" i="3"/>
  <c r="AB65" i="3" s="1"/>
  <c r="U35" i="3"/>
  <c r="AB35" i="3" s="1"/>
  <c r="V42" i="3"/>
  <c r="AD42" i="3" s="1"/>
  <c r="V62" i="3"/>
  <c r="AD62" i="3" s="1"/>
  <c r="U59" i="3"/>
  <c r="AB59" i="3" s="1"/>
  <c r="R70" i="3"/>
  <c r="R71" i="3" s="1"/>
  <c r="U36" i="3"/>
  <c r="AB36" i="3" s="1"/>
  <c r="V39" i="3"/>
  <c r="AD39" i="3" s="1"/>
  <c r="U61" i="3"/>
  <c r="AB61" i="3" s="1"/>
  <c r="U60" i="3"/>
  <c r="AB60" i="3" s="1"/>
  <c r="U33" i="3"/>
  <c r="AB33" i="3" s="1"/>
  <c r="U40" i="3"/>
  <c r="AB40" i="3" s="1"/>
  <c r="V65" i="3"/>
  <c r="AD65" i="3" s="1"/>
  <c r="V33" i="3"/>
  <c r="AD33" i="3" s="1"/>
  <c r="U37" i="3"/>
  <c r="AB37" i="3" s="1"/>
  <c r="V53" i="3"/>
  <c r="AD53" i="3" s="1"/>
  <c r="V55" i="3"/>
  <c r="AD55" i="3" s="1"/>
  <c r="U43" i="3"/>
  <c r="AB43" i="3" s="1"/>
  <c r="V46" i="3"/>
  <c r="AD46" i="3" s="1"/>
  <c r="U46" i="3"/>
  <c r="AB46" i="3" s="1"/>
  <c r="U47" i="3"/>
  <c r="AB47" i="3" s="1"/>
  <c r="V37" i="3"/>
  <c r="AD37" i="3" s="1"/>
  <c r="V44" i="3"/>
  <c r="AD44" i="3" s="1"/>
  <c r="U42" i="3"/>
  <c r="AB42" i="3" s="1"/>
  <c r="U55" i="3"/>
  <c r="AB55" i="3" s="1"/>
  <c r="U51" i="3"/>
  <c r="AB51" i="3" s="1"/>
  <c r="V51" i="3"/>
  <c r="AD51" i="3" s="1"/>
  <c r="U38" i="3"/>
  <c r="AB38" i="3" s="1"/>
  <c r="V67" i="3"/>
  <c r="AD67" i="3" s="1"/>
  <c r="V58" i="3"/>
  <c r="AD58" i="3" s="1"/>
  <c r="Q70" i="3"/>
  <c r="Q71" i="3" s="1"/>
  <c r="V36" i="3"/>
  <c r="AD36" i="3" s="1"/>
  <c r="V54" i="3"/>
  <c r="AD54" i="3" s="1"/>
  <c r="U39" i="3"/>
  <c r="AB39" i="3" s="1"/>
  <c r="U66" i="3"/>
  <c r="AB66" i="3" s="1"/>
  <c r="V32" i="3" l="1"/>
  <c r="U70" i="3"/>
  <c r="U71" i="3" s="1"/>
  <c r="AD32" i="3" l="1"/>
  <c r="V70" i="3"/>
  <c r="V7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 Estes</author>
  </authors>
  <commentList>
    <comment ref="A27" authorId="0" shapeId="0" xr:uid="{14F74B1D-FC62-4159-B8D0-503C28FC4826}">
      <text>
        <r>
          <rPr>
            <b/>
            <sz val="9"/>
            <color indexed="81"/>
            <rFont val="Tahoma"/>
            <family val="2"/>
          </rPr>
          <t>Jackson Estes:</t>
        </r>
        <r>
          <rPr>
            <sz val="9"/>
            <color indexed="81"/>
            <rFont val="Tahoma"/>
            <family val="2"/>
          </rPr>
          <t xml:space="preserve">
Price Change from $765 to $795</t>
        </r>
      </text>
    </comment>
  </commentList>
</comments>
</file>

<file path=xl/sharedStrings.xml><?xml version="1.0" encoding="utf-8"?>
<sst xmlns="http://schemas.openxmlformats.org/spreadsheetml/2006/main" count="110" uniqueCount="43">
  <si>
    <t>Ram</t>
  </si>
  <si>
    <t>Week Of</t>
  </si>
  <si>
    <t>FBM</t>
  </si>
  <si>
    <t>FBA</t>
  </si>
  <si>
    <t>Website</t>
  </si>
  <si>
    <t>Ford USL</t>
  </si>
  <si>
    <t>GM USL</t>
  </si>
  <si>
    <t>Ford FOL</t>
  </si>
  <si>
    <t>GM FOL</t>
  </si>
  <si>
    <t>Total Revenue</t>
  </si>
  <si>
    <t>Web</t>
  </si>
  <si>
    <t>USL Revenue</t>
  </si>
  <si>
    <t>FOL Revenue</t>
  </si>
  <si>
    <t>FOL Sales</t>
  </si>
  <si>
    <t>USL Sales</t>
  </si>
  <si>
    <t>Total Sales</t>
  </si>
  <si>
    <t>Forecast Assumptions</t>
  </si>
  <si>
    <t>USL Share %</t>
  </si>
  <si>
    <t>FOL Share %</t>
  </si>
  <si>
    <t>USL Unit Price</t>
  </si>
  <si>
    <t>FOL Unit Price</t>
  </si>
  <si>
    <t>Type</t>
  </si>
  <si>
    <t>Actual</t>
  </si>
  <si>
    <t>Forecast</t>
  </si>
  <si>
    <t>Actual Total</t>
  </si>
  <si>
    <t>Forecast Total</t>
  </si>
  <si>
    <t>Full Year Total</t>
  </si>
  <si>
    <t>Actual Sales</t>
  </si>
  <si>
    <t>Forecast Sales</t>
  </si>
  <si>
    <t>Actual Revenue</t>
  </si>
  <si>
    <t>Forecast Revenue</t>
  </si>
  <si>
    <t>4-Wk Moving Avg (USL)</t>
  </si>
  <si>
    <t>Linear Trend (USL, from actuals Q3:Q31)</t>
  </si>
  <si>
    <t>Slope (units/week)</t>
  </si>
  <si>
    <t>Intercept (at row 0)</t>
  </si>
  <si>
    <t>R² (fit quality)</t>
  </si>
  <si>
    <t>Avg weekly growth (units)</t>
  </si>
  <si>
    <t>Shares &amp; Prices</t>
  </si>
  <si>
    <t>Plocker</t>
  </si>
  <si>
    <t>Start Week (row #)</t>
  </si>
  <si>
    <t>Weekly Units</t>
  </si>
  <si>
    <t>Unit Price</t>
  </si>
  <si>
    <t>Handgun 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</si>
</sst>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/d;@"/>
    <numFmt numFmtId="165" formatCode="0.0"/>
    <numFmt numFmtId="166" formatCode="0.0%"/>
    <numFmt numFmtId="167" formatCode="&quot;$&quot;#,##0"/>
    <numFmt numFmtId="168" formatCode="0.000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i/>
      <sz val="14"/>
      <color rgb="FF808080"/>
      <name val="Aptos Narrow"/>
      <family val="2"/>
      <scheme val="minor"/>
    </font>
    <font>
      <i/>
      <sz val="14"/>
      <color rgb="FF80808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4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9D9D9"/>
      </right>
      <top style="medium">
        <color rgb="FF4472C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4472C4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medium">
        <color rgb="FF4472C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0" xfId="0" applyFill="1"/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0" fillId="5" borderId="0" xfId="0" applyFill="1"/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164" fontId="1" fillId="0" borderId="0" xfId="0" applyNumberFormat="1" applyFont="1"/>
    <xf numFmtId="0" fontId="3" fillId="5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1" fillId="0" borderId="0" xfId="0" applyNumberFormat="1" applyFont="1"/>
    <xf numFmtId="14" fontId="2" fillId="7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11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44" fontId="3" fillId="11" borderId="1" xfId="1" applyFont="1" applyFill="1" applyBorder="1" applyAlignment="1">
      <alignment horizontal="center" vertical="center"/>
    </xf>
    <xf numFmtId="44" fontId="3" fillId="10" borderId="1" xfId="1" applyFont="1" applyFill="1" applyBorder="1" applyAlignment="1">
      <alignment horizontal="center" vertical="center"/>
    </xf>
    <xf numFmtId="44" fontId="3" fillId="10" borderId="1" xfId="0" applyNumberFormat="1" applyFont="1" applyFill="1" applyBorder="1" applyAlignment="1">
      <alignment horizontal="center" vertical="center"/>
    </xf>
    <xf numFmtId="165" fontId="10" fillId="0" borderId="0" xfId="0" applyNumberFormat="1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3" fillId="12" borderId="0" xfId="0" applyFont="1" applyFill="1"/>
    <xf numFmtId="0" fontId="11" fillId="0" borderId="0" xfId="0" applyFont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4" fontId="3" fillId="11" borderId="2" xfId="1" applyFont="1" applyFill="1" applyBorder="1" applyAlignment="1">
      <alignment horizontal="center" vertical="center"/>
    </xf>
    <xf numFmtId="44" fontId="3" fillId="10" borderId="2" xfId="1" applyFont="1" applyFill="1" applyBorder="1" applyAlignment="1">
      <alignment horizontal="center" vertical="center"/>
    </xf>
    <xf numFmtId="44" fontId="3" fillId="10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167" fontId="13" fillId="10" borderId="5" xfId="0" applyNumberFormat="1" applyFont="1" applyFill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167" fontId="13" fillId="10" borderId="8" xfId="0" applyNumberFormat="1" applyFont="1" applyFill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/>
    </xf>
    <xf numFmtId="0" fontId="14" fillId="0" borderId="7" xfId="0" applyFont="1" applyBorder="1"/>
    <xf numFmtId="14" fontId="12" fillId="0" borderId="10" xfId="0" applyNumberFormat="1" applyFont="1" applyBorder="1" applyAlignment="1">
      <alignment horizontal="center"/>
    </xf>
    <xf numFmtId="0" fontId="14" fillId="0" borderId="11" xfId="0" applyFont="1" applyBorder="1"/>
    <xf numFmtId="0" fontId="13" fillId="11" borderId="12" xfId="0" applyFont="1" applyFill="1" applyBorder="1" applyAlignment="1">
      <alignment horizontal="center" vertical="center"/>
    </xf>
    <xf numFmtId="167" fontId="13" fillId="10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11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67" fontId="12" fillId="10" borderId="0" xfId="0" applyNumberFormat="1" applyFont="1" applyFill="1" applyAlignment="1">
      <alignment horizontal="center" vertical="center"/>
    </xf>
    <xf numFmtId="167" fontId="12" fillId="0" borderId="0" xfId="0" applyNumberFormat="1" applyFont="1"/>
    <xf numFmtId="167" fontId="2" fillId="0" borderId="0" xfId="0" applyNumberFormat="1" applyFont="1"/>
    <xf numFmtId="0" fontId="15" fillId="0" borderId="0" xfId="0" applyFont="1"/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7" fillId="13" borderId="0" xfId="0" applyFont="1" applyFill="1" applyAlignment="1">
      <alignment horizontal="center"/>
    </xf>
    <xf numFmtId="0" fontId="0" fillId="13" borderId="0" xfId="0" applyFill="1"/>
    <xf numFmtId="0" fontId="16" fillId="0" borderId="0" xfId="0" applyFont="1"/>
    <xf numFmtId="168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165" fontId="19" fillId="7" borderId="0" xfId="0" applyNumberFormat="1" applyFont="1" applyFill="1" applyAlignment="1">
      <alignment horizontal="center" vertical="center"/>
    </xf>
    <xf numFmtId="167" fontId="19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21" fillId="11" borderId="4" xfId="0" applyNumberFormat="1" applyFont="1" applyFill="1" applyBorder="1" applyAlignment="1">
      <alignment horizontal="center" vertical="center"/>
    </xf>
    <xf numFmtId="165" fontId="21" fillId="10" borderId="4" xfId="0" applyNumberFormat="1" applyFont="1" applyFill="1" applyBorder="1" applyAlignment="1">
      <alignment horizontal="center" vertical="center"/>
    </xf>
    <xf numFmtId="167" fontId="21" fillId="11" borderId="4" xfId="1" applyNumberFormat="1" applyFont="1" applyFill="1" applyBorder="1" applyAlignment="1">
      <alignment horizontal="center" vertical="center"/>
    </xf>
    <xf numFmtId="167" fontId="21" fillId="10" borderId="4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USL Sales &amp; Revenue — 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Sales (Units)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'Data and Forecast'!$A$3:$A$67</c:f>
              <c:numCache>
                <c:formatCode>m/d/yyyy</c:formatCode>
                <c:ptCount val="65"/>
                <c:pt idx="0">
                  <c:v>45929</c:v>
                </c:pt>
                <c:pt idx="1">
                  <c:v>45936</c:v>
                </c:pt>
                <c:pt idx="2">
                  <c:v>45943</c:v>
                </c:pt>
                <c:pt idx="3">
                  <c:v>45950</c:v>
                </c:pt>
                <c:pt idx="4">
                  <c:v>45957</c:v>
                </c:pt>
                <c:pt idx="5">
                  <c:v>45964</c:v>
                </c:pt>
                <c:pt idx="6">
                  <c:v>45971</c:v>
                </c:pt>
                <c:pt idx="7">
                  <c:v>45978</c:v>
                </c:pt>
                <c:pt idx="8">
                  <c:v>45985</c:v>
                </c:pt>
                <c:pt idx="9">
                  <c:v>45992</c:v>
                </c:pt>
                <c:pt idx="10">
                  <c:v>45999</c:v>
                </c:pt>
                <c:pt idx="11">
                  <c:v>46006</c:v>
                </c:pt>
                <c:pt idx="12">
                  <c:v>46013</c:v>
                </c:pt>
                <c:pt idx="13">
                  <c:v>46020</c:v>
                </c:pt>
                <c:pt idx="14">
                  <c:v>46027</c:v>
                </c:pt>
                <c:pt idx="15">
                  <c:v>46034</c:v>
                </c:pt>
                <c:pt idx="16">
                  <c:v>46041</c:v>
                </c:pt>
                <c:pt idx="17">
                  <c:v>46048</c:v>
                </c:pt>
                <c:pt idx="18">
                  <c:v>46055</c:v>
                </c:pt>
                <c:pt idx="19">
                  <c:v>46062</c:v>
                </c:pt>
                <c:pt idx="20">
                  <c:v>46069</c:v>
                </c:pt>
                <c:pt idx="21">
                  <c:v>46076</c:v>
                </c:pt>
                <c:pt idx="22">
                  <c:v>46083</c:v>
                </c:pt>
                <c:pt idx="23">
                  <c:v>46090</c:v>
                </c:pt>
                <c:pt idx="24">
                  <c:v>46097</c:v>
                </c:pt>
                <c:pt idx="25">
                  <c:v>46104</c:v>
                </c:pt>
                <c:pt idx="26">
                  <c:v>46111</c:v>
                </c:pt>
                <c:pt idx="27">
                  <c:v>46118</c:v>
                </c:pt>
                <c:pt idx="28">
                  <c:v>46125</c:v>
                </c:pt>
                <c:pt idx="29">
                  <c:v>46132</c:v>
                </c:pt>
                <c:pt idx="30">
                  <c:v>46139</c:v>
                </c:pt>
                <c:pt idx="31">
                  <c:v>46146</c:v>
                </c:pt>
                <c:pt idx="32">
                  <c:v>46153</c:v>
                </c:pt>
                <c:pt idx="33">
                  <c:v>46160</c:v>
                </c:pt>
                <c:pt idx="34">
                  <c:v>46167</c:v>
                </c:pt>
                <c:pt idx="35">
                  <c:v>46174</c:v>
                </c:pt>
                <c:pt idx="36">
                  <c:v>46181</c:v>
                </c:pt>
                <c:pt idx="37">
                  <c:v>46188</c:v>
                </c:pt>
                <c:pt idx="38">
                  <c:v>46195</c:v>
                </c:pt>
                <c:pt idx="39">
                  <c:v>46202</c:v>
                </c:pt>
                <c:pt idx="40">
                  <c:v>46209</c:v>
                </c:pt>
                <c:pt idx="41">
                  <c:v>46216</c:v>
                </c:pt>
                <c:pt idx="42">
                  <c:v>46223</c:v>
                </c:pt>
                <c:pt idx="43">
                  <c:v>46230</c:v>
                </c:pt>
                <c:pt idx="44">
                  <c:v>46237</c:v>
                </c:pt>
                <c:pt idx="45">
                  <c:v>46244</c:v>
                </c:pt>
                <c:pt idx="46">
                  <c:v>46251</c:v>
                </c:pt>
                <c:pt idx="47">
                  <c:v>46258</c:v>
                </c:pt>
                <c:pt idx="48">
                  <c:v>46265</c:v>
                </c:pt>
                <c:pt idx="49">
                  <c:v>46272</c:v>
                </c:pt>
                <c:pt idx="50">
                  <c:v>46279</c:v>
                </c:pt>
                <c:pt idx="51">
                  <c:v>46286</c:v>
                </c:pt>
                <c:pt idx="52">
                  <c:v>46293</c:v>
                </c:pt>
                <c:pt idx="53">
                  <c:v>46300</c:v>
                </c:pt>
                <c:pt idx="54">
                  <c:v>46307</c:v>
                </c:pt>
                <c:pt idx="55">
                  <c:v>46314</c:v>
                </c:pt>
                <c:pt idx="56">
                  <c:v>46321</c:v>
                </c:pt>
                <c:pt idx="57">
                  <c:v>46328</c:v>
                </c:pt>
                <c:pt idx="58">
                  <c:v>46335</c:v>
                </c:pt>
                <c:pt idx="59">
                  <c:v>46342</c:v>
                </c:pt>
                <c:pt idx="60">
                  <c:v>46349</c:v>
                </c:pt>
                <c:pt idx="61">
                  <c:v>46356</c:v>
                </c:pt>
                <c:pt idx="62">
                  <c:v>46363</c:v>
                </c:pt>
                <c:pt idx="63">
                  <c:v>46370</c:v>
                </c:pt>
                <c:pt idx="64">
                  <c:v>46377</c:v>
                </c:pt>
              </c:numCache>
            </c:numRef>
          </c:cat>
          <c:val>
            <c:numRef>
              <c:f>'Data and Forecast'!$AA$3:$AA$67</c:f>
              <c:numCache>
                <c:formatCode>General</c:formatCode>
                <c:ptCount val="6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11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F-424E-B705-94EA1AC8E8F4}"/>
            </c:ext>
          </c:extLst>
        </c:ser>
        <c:ser>
          <c:idx val="1"/>
          <c:order val="1"/>
          <c:tx>
            <c:v>Forecast Sales (Units)</c:v>
          </c:tx>
          <c:spPr>
            <a:solidFill>
              <a:srgbClr val="B4C7E7"/>
            </a:solidFill>
            <a:ln>
              <a:noFill/>
            </a:ln>
            <a:effectLst/>
          </c:spPr>
          <c:invertIfNegative val="0"/>
          <c:cat>
            <c:numRef>
              <c:f>'Data and Forecast'!$A$3:$A$67</c:f>
              <c:numCache>
                <c:formatCode>m/d/yyyy</c:formatCode>
                <c:ptCount val="65"/>
                <c:pt idx="0">
                  <c:v>45929</c:v>
                </c:pt>
                <c:pt idx="1">
                  <c:v>45936</c:v>
                </c:pt>
                <c:pt idx="2">
                  <c:v>45943</c:v>
                </c:pt>
                <c:pt idx="3">
                  <c:v>45950</c:v>
                </c:pt>
                <c:pt idx="4">
                  <c:v>45957</c:v>
                </c:pt>
                <c:pt idx="5">
                  <c:v>45964</c:v>
                </c:pt>
                <c:pt idx="6">
                  <c:v>45971</c:v>
                </c:pt>
                <c:pt idx="7">
                  <c:v>45978</c:v>
                </c:pt>
                <c:pt idx="8">
                  <c:v>45985</c:v>
                </c:pt>
                <c:pt idx="9">
                  <c:v>45992</c:v>
                </c:pt>
                <c:pt idx="10">
                  <c:v>45999</c:v>
                </c:pt>
                <c:pt idx="11">
                  <c:v>46006</c:v>
                </c:pt>
                <c:pt idx="12">
                  <c:v>46013</c:v>
                </c:pt>
                <c:pt idx="13">
                  <c:v>46020</c:v>
                </c:pt>
                <c:pt idx="14">
                  <c:v>46027</c:v>
                </c:pt>
                <c:pt idx="15">
                  <c:v>46034</c:v>
                </c:pt>
                <c:pt idx="16">
                  <c:v>46041</c:v>
                </c:pt>
                <c:pt idx="17">
                  <c:v>46048</c:v>
                </c:pt>
                <c:pt idx="18">
                  <c:v>46055</c:v>
                </c:pt>
                <c:pt idx="19">
                  <c:v>46062</c:v>
                </c:pt>
                <c:pt idx="20">
                  <c:v>46069</c:v>
                </c:pt>
                <c:pt idx="21">
                  <c:v>46076</c:v>
                </c:pt>
                <c:pt idx="22">
                  <c:v>46083</c:v>
                </c:pt>
                <c:pt idx="23">
                  <c:v>46090</c:v>
                </c:pt>
                <c:pt idx="24">
                  <c:v>46097</c:v>
                </c:pt>
                <c:pt idx="25">
                  <c:v>46104</c:v>
                </c:pt>
                <c:pt idx="26">
                  <c:v>46111</c:v>
                </c:pt>
                <c:pt idx="27">
                  <c:v>46118</c:v>
                </c:pt>
                <c:pt idx="28">
                  <c:v>46125</c:v>
                </c:pt>
                <c:pt idx="29">
                  <c:v>46132</c:v>
                </c:pt>
                <c:pt idx="30">
                  <c:v>46139</c:v>
                </c:pt>
                <c:pt idx="31">
                  <c:v>46146</c:v>
                </c:pt>
                <c:pt idx="32">
                  <c:v>46153</c:v>
                </c:pt>
                <c:pt idx="33">
                  <c:v>46160</c:v>
                </c:pt>
                <c:pt idx="34">
                  <c:v>46167</c:v>
                </c:pt>
                <c:pt idx="35">
                  <c:v>46174</c:v>
                </c:pt>
                <c:pt idx="36">
                  <c:v>46181</c:v>
                </c:pt>
                <c:pt idx="37">
                  <c:v>46188</c:v>
                </c:pt>
                <c:pt idx="38">
                  <c:v>46195</c:v>
                </c:pt>
                <c:pt idx="39">
                  <c:v>46202</c:v>
                </c:pt>
                <c:pt idx="40">
                  <c:v>46209</c:v>
                </c:pt>
                <c:pt idx="41">
                  <c:v>46216</c:v>
                </c:pt>
                <c:pt idx="42">
                  <c:v>46223</c:v>
                </c:pt>
                <c:pt idx="43">
                  <c:v>46230</c:v>
                </c:pt>
                <c:pt idx="44">
                  <c:v>46237</c:v>
                </c:pt>
                <c:pt idx="45">
                  <c:v>46244</c:v>
                </c:pt>
                <c:pt idx="46">
                  <c:v>46251</c:v>
                </c:pt>
                <c:pt idx="47">
                  <c:v>46258</c:v>
                </c:pt>
                <c:pt idx="48">
                  <c:v>46265</c:v>
                </c:pt>
                <c:pt idx="49">
                  <c:v>46272</c:v>
                </c:pt>
                <c:pt idx="50">
                  <c:v>46279</c:v>
                </c:pt>
                <c:pt idx="51">
                  <c:v>46286</c:v>
                </c:pt>
                <c:pt idx="52">
                  <c:v>46293</c:v>
                </c:pt>
                <c:pt idx="53">
                  <c:v>46300</c:v>
                </c:pt>
                <c:pt idx="54">
                  <c:v>46307</c:v>
                </c:pt>
                <c:pt idx="55">
                  <c:v>46314</c:v>
                </c:pt>
                <c:pt idx="56">
                  <c:v>46321</c:v>
                </c:pt>
                <c:pt idx="57">
                  <c:v>46328</c:v>
                </c:pt>
                <c:pt idx="58">
                  <c:v>46335</c:v>
                </c:pt>
                <c:pt idx="59">
                  <c:v>46342</c:v>
                </c:pt>
                <c:pt idx="60">
                  <c:v>46349</c:v>
                </c:pt>
                <c:pt idx="61">
                  <c:v>46356</c:v>
                </c:pt>
                <c:pt idx="62">
                  <c:v>46363</c:v>
                </c:pt>
                <c:pt idx="63">
                  <c:v>46370</c:v>
                </c:pt>
                <c:pt idx="64">
                  <c:v>46377</c:v>
                </c:pt>
              </c:numCache>
            </c:numRef>
          </c:cat>
          <c:val>
            <c:numRef>
              <c:f>'Data and Forecast'!$AB$3:$AB$67</c:f>
              <c:numCache>
                <c:formatCode>General</c:formatCode>
                <c:ptCount val="65"/>
                <c:pt idx="28">
                  <c:v>3</c:v>
                </c:pt>
                <c:pt idx="29">
                  <c:v>3.6403940886699502</c:v>
                </c:pt>
                <c:pt idx="30">
                  <c:v>3.7014778325123148</c:v>
                </c:pt>
                <c:pt idx="31">
                  <c:v>3.7625615763546794</c:v>
                </c:pt>
                <c:pt idx="32">
                  <c:v>3.823645320197044</c:v>
                </c:pt>
                <c:pt idx="33">
                  <c:v>3.8847290640394085</c:v>
                </c:pt>
                <c:pt idx="34">
                  <c:v>3.9458128078817731</c:v>
                </c:pt>
                <c:pt idx="35">
                  <c:v>4.0068965517241377</c:v>
                </c:pt>
                <c:pt idx="36">
                  <c:v>4.0679802955665023</c:v>
                </c:pt>
                <c:pt idx="37">
                  <c:v>4.1290640394088669</c:v>
                </c:pt>
                <c:pt idx="38">
                  <c:v>4.1901477832512306</c:v>
                </c:pt>
                <c:pt idx="39">
                  <c:v>4.2512315270935961</c:v>
                </c:pt>
                <c:pt idx="40">
                  <c:v>4.3123152709359598</c:v>
                </c:pt>
                <c:pt idx="41">
                  <c:v>4.3733990147783253</c:v>
                </c:pt>
                <c:pt idx="42">
                  <c:v>4.4344827586206881</c:v>
                </c:pt>
                <c:pt idx="43">
                  <c:v>4.4955665024630544</c:v>
                </c:pt>
                <c:pt idx="44">
                  <c:v>4.5566502463054182</c:v>
                </c:pt>
                <c:pt idx="45">
                  <c:v>4.6177339901477836</c:v>
                </c:pt>
                <c:pt idx="46">
                  <c:v>4.6788177339901473</c:v>
                </c:pt>
                <c:pt idx="47">
                  <c:v>4.7399014778325128</c:v>
                </c:pt>
                <c:pt idx="48">
                  <c:v>4.8009852216748765</c:v>
                </c:pt>
                <c:pt idx="49">
                  <c:v>4.862068965517242</c:v>
                </c:pt>
                <c:pt idx="50">
                  <c:v>4.9231527093596057</c:v>
                </c:pt>
                <c:pt idx="51">
                  <c:v>4.9842364532019703</c:v>
                </c:pt>
                <c:pt idx="52">
                  <c:v>5.0453201970443349</c:v>
                </c:pt>
                <c:pt idx="53">
                  <c:v>5.1064039408866995</c:v>
                </c:pt>
                <c:pt idx="54">
                  <c:v>5.1674876847290641</c:v>
                </c:pt>
                <c:pt idx="55">
                  <c:v>5.2285714285714278</c:v>
                </c:pt>
                <c:pt idx="56">
                  <c:v>5.2896551724137932</c:v>
                </c:pt>
                <c:pt idx="57">
                  <c:v>5.3507389162561561</c:v>
                </c:pt>
                <c:pt idx="58">
                  <c:v>5.4118226600985224</c:v>
                </c:pt>
                <c:pt idx="59">
                  <c:v>5.4729064039408852</c:v>
                </c:pt>
                <c:pt idx="60">
                  <c:v>5.5339901477832516</c:v>
                </c:pt>
                <c:pt idx="61">
                  <c:v>5.5950738916256144</c:v>
                </c:pt>
                <c:pt idx="62">
                  <c:v>5.6561576354679808</c:v>
                </c:pt>
                <c:pt idx="63">
                  <c:v>5.7172413793103445</c:v>
                </c:pt>
                <c:pt idx="64">
                  <c:v>5.77832512315271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F-424E-B705-94EA1AC8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021344"/>
        <c:axId val="1482015104"/>
      </c:barChart>
      <c:lineChart>
        <c:grouping val="standard"/>
        <c:varyColors val="0"/>
        <c:ser>
          <c:idx val="2"/>
          <c:order val="2"/>
          <c:tx>
            <c:v>Actual Revenue ($)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numRef>
              <c:f>'Data and Forecast'!$A$3:$A$67</c:f>
              <c:numCache>
                <c:formatCode>m/d/yyyy</c:formatCode>
                <c:ptCount val="65"/>
                <c:pt idx="0">
                  <c:v>45929</c:v>
                </c:pt>
                <c:pt idx="1">
                  <c:v>45936</c:v>
                </c:pt>
                <c:pt idx="2">
                  <c:v>45943</c:v>
                </c:pt>
                <c:pt idx="3">
                  <c:v>45950</c:v>
                </c:pt>
                <c:pt idx="4">
                  <c:v>45957</c:v>
                </c:pt>
                <c:pt idx="5">
                  <c:v>45964</c:v>
                </c:pt>
                <c:pt idx="6">
                  <c:v>45971</c:v>
                </c:pt>
                <c:pt idx="7">
                  <c:v>45978</c:v>
                </c:pt>
                <c:pt idx="8">
                  <c:v>45985</c:v>
                </c:pt>
                <c:pt idx="9">
                  <c:v>45992</c:v>
                </c:pt>
                <c:pt idx="10">
                  <c:v>45999</c:v>
                </c:pt>
                <c:pt idx="11">
                  <c:v>46006</c:v>
                </c:pt>
                <c:pt idx="12">
                  <c:v>46013</c:v>
                </c:pt>
                <c:pt idx="13">
                  <c:v>46020</c:v>
                </c:pt>
                <c:pt idx="14">
                  <c:v>46027</c:v>
                </c:pt>
                <c:pt idx="15">
                  <c:v>46034</c:v>
                </c:pt>
                <c:pt idx="16">
                  <c:v>46041</c:v>
                </c:pt>
                <c:pt idx="17">
                  <c:v>46048</c:v>
                </c:pt>
                <c:pt idx="18">
                  <c:v>46055</c:v>
                </c:pt>
                <c:pt idx="19">
                  <c:v>46062</c:v>
                </c:pt>
                <c:pt idx="20">
                  <c:v>46069</c:v>
                </c:pt>
                <c:pt idx="21">
                  <c:v>46076</c:v>
                </c:pt>
                <c:pt idx="22">
                  <c:v>46083</c:v>
                </c:pt>
                <c:pt idx="23">
                  <c:v>46090</c:v>
                </c:pt>
                <c:pt idx="24">
                  <c:v>46097</c:v>
                </c:pt>
                <c:pt idx="25">
                  <c:v>46104</c:v>
                </c:pt>
                <c:pt idx="26">
                  <c:v>46111</c:v>
                </c:pt>
                <c:pt idx="27">
                  <c:v>46118</c:v>
                </c:pt>
                <c:pt idx="28">
                  <c:v>46125</c:v>
                </c:pt>
                <c:pt idx="29">
                  <c:v>46132</c:v>
                </c:pt>
                <c:pt idx="30">
                  <c:v>46139</c:v>
                </c:pt>
                <c:pt idx="31">
                  <c:v>46146</c:v>
                </c:pt>
                <c:pt idx="32">
                  <c:v>46153</c:v>
                </c:pt>
                <c:pt idx="33">
                  <c:v>46160</c:v>
                </c:pt>
                <c:pt idx="34">
                  <c:v>46167</c:v>
                </c:pt>
                <c:pt idx="35">
                  <c:v>46174</c:v>
                </c:pt>
                <c:pt idx="36">
                  <c:v>46181</c:v>
                </c:pt>
                <c:pt idx="37">
                  <c:v>46188</c:v>
                </c:pt>
                <c:pt idx="38">
                  <c:v>46195</c:v>
                </c:pt>
                <c:pt idx="39">
                  <c:v>46202</c:v>
                </c:pt>
                <c:pt idx="40">
                  <c:v>46209</c:v>
                </c:pt>
                <c:pt idx="41">
                  <c:v>46216</c:v>
                </c:pt>
                <c:pt idx="42">
                  <c:v>46223</c:v>
                </c:pt>
                <c:pt idx="43">
                  <c:v>46230</c:v>
                </c:pt>
                <c:pt idx="44">
                  <c:v>46237</c:v>
                </c:pt>
                <c:pt idx="45">
                  <c:v>46244</c:v>
                </c:pt>
                <c:pt idx="46">
                  <c:v>46251</c:v>
                </c:pt>
                <c:pt idx="47">
                  <c:v>46258</c:v>
                </c:pt>
                <c:pt idx="48">
                  <c:v>46265</c:v>
                </c:pt>
                <c:pt idx="49">
                  <c:v>46272</c:v>
                </c:pt>
                <c:pt idx="50">
                  <c:v>46279</c:v>
                </c:pt>
                <c:pt idx="51">
                  <c:v>46286</c:v>
                </c:pt>
                <c:pt idx="52">
                  <c:v>46293</c:v>
                </c:pt>
                <c:pt idx="53">
                  <c:v>46300</c:v>
                </c:pt>
                <c:pt idx="54">
                  <c:v>46307</c:v>
                </c:pt>
                <c:pt idx="55">
                  <c:v>46314</c:v>
                </c:pt>
                <c:pt idx="56">
                  <c:v>46321</c:v>
                </c:pt>
                <c:pt idx="57">
                  <c:v>46328</c:v>
                </c:pt>
                <c:pt idx="58">
                  <c:v>46335</c:v>
                </c:pt>
                <c:pt idx="59">
                  <c:v>46342</c:v>
                </c:pt>
                <c:pt idx="60">
                  <c:v>46349</c:v>
                </c:pt>
                <c:pt idx="61">
                  <c:v>46356</c:v>
                </c:pt>
                <c:pt idx="62">
                  <c:v>46363</c:v>
                </c:pt>
                <c:pt idx="63">
                  <c:v>46370</c:v>
                </c:pt>
                <c:pt idx="64">
                  <c:v>46377</c:v>
                </c:pt>
              </c:numCache>
            </c:numRef>
          </c:cat>
          <c:val>
            <c:numRef>
              <c:f>'Data and Forecast'!$AC$3:$AC$67</c:f>
              <c:numCache>
                <c:formatCode>General</c:formatCode>
                <c:ptCount val="65"/>
                <c:pt idx="0">
                  <c:v>765</c:v>
                </c:pt>
                <c:pt idx="1">
                  <c:v>0</c:v>
                </c:pt>
                <c:pt idx="2">
                  <c:v>765</c:v>
                </c:pt>
                <c:pt idx="3">
                  <c:v>765</c:v>
                </c:pt>
                <c:pt idx="4">
                  <c:v>1530</c:v>
                </c:pt>
                <c:pt idx="5">
                  <c:v>2295</c:v>
                </c:pt>
                <c:pt idx="6">
                  <c:v>765</c:v>
                </c:pt>
                <c:pt idx="7">
                  <c:v>5355</c:v>
                </c:pt>
                <c:pt idx="8">
                  <c:v>3825</c:v>
                </c:pt>
                <c:pt idx="9">
                  <c:v>3060</c:v>
                </c:pt>
                <c:pt idx="10">
                  <c:v>1530</c:v>
                </c:pt>
                <c:pt idx="11">
                  <c:v>2295</c:v>
                </c:pt>
                <c:pt idx="12">
                  <c:v>1530</c:v>
                </c:pt>
                <c:pt idx="13">
                  <c:v>2295</c:v>
                </c:pt>
                <c:pt idx="14">
                  <c:v>0</c:v>
                </c:pt>
                <c:pt idx="15">
                  <c:v>1530</c:v>
                </c:pt>
                <c:pt idx="16">
                  <c:v>9150</c:v>
                </c:pt>
                <c:pt idx="17">
                  <c:v>765</c:v>
                </c:pt>
                <c:pt idx="18">
                  <c:v>2295</c:v>
                </c:pt>
                <c:pt idx="19">
                  <c:v>2265</c:v>
                </c:pt>
                <c:pt idx="20">
                  <c:v>1530</c:v>
                </c:pt>
                <c:pt idx="21">
                  <c:v>1530</c:v>
                </c:pt>
                <c:pt idx="22">
                  <c:v>765</c:v>
                </c:pt>
                <c:pt idx="23">
                  <c:v>1530</c:v>
                </c:pt>
                <c:pt idx="24">
                  <c:v>795</c:v>
                </c:pt>
                <c:pt idx="25">
                  <c:v>3975</c:v>
                </c:pt>
                <c:pt idx="26">
                  <c:v>5475</c:v>
                </c:pt>
                <c:pt idx="27">
                  <c:v>4770</c:v>
                </c:pt>
                <c:pt idx="28">
                  <c:v>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7F-424E-B705-94EA1AC8E8F4}"/>
            </c:ext>
          </c:extLst>
        </c:ser>
        <c:ser>
          <c:idx val="3"/>
          <c:order val="3"/>
          <c:tx>
            <c:v>Forecast Revenue ($)</c:v>
          </c:tx>
          <c:spPr>
            <a:ln w="28575" cap="rnd">
              <a:solidFill>
                <a:srgbClr val="F4B18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and Forecast'!$A$3:$A$67</c:f>
              <c:numCache>
                <c:formatCode>m/d/yyyy</c:formatCode>
                <c:ptCount val="65"/>
                <c:pt idx="0">
                  <c:v>45929</c:v>
                </c:pt>
                <c:pt idx="1">
                  <c:v>45936</c:v>
                </c:pt>
                <c:pt idx="2">
                  <c:v>45943</c:v>
                </c:pt>
                <c:pt idx="3">
                  <c:v>45950</c:v>
                </c:pt>
                <c:pt idx="4">
                  <c:v>45957</c:v>
                </c:pt>
                <c:pt idx="5">
                  <c:v>45964</c:v>
                </c:pt>
                <c:pt idx="6">
                  <c:v>45971</c:v>
                </c:pt>
                <c:pt idx="7">
                  <c:v>45978</c:v>
                </c:pt>
                <c:pt idx="8">
                  <c:v>45985</c:v>
                </c:pt>
                <c:pt idx="9">
                  <c:v>45992</c:v>
                </c:pt>
                <c:pt idx="10">
                  <c:v>45999</c:v>
                </c:pt>
                <c:pt idx="11">
                  <c:v>46006</c:v>
                </c:pt>
                <c:pt idx="12">
                  <c:v>46013</c:v>
                </c:pt>
                <c:pt idx="13">
                  <c:v>46020</c:v>
                </c:pt>
                <c:pt idx="14">
                  <c:v>46027</c:v>
                </c:pt>
                <c:pt idx="15">
                  <c:v>46034</c:v>
                </c:pt>
                <c:pt idx="16">
                  <c:v>46041</c:v>
                </c:pt>
                <c:pt idx="17">
                  <c:v>46048</c:v>
                </c:pt>
                <c:pt idx="18">
                  <c:v>46055</c:v>
                </c:pt>
                <c:pt idx="19">
                  <c:v>46062</c:v>
                </c:pt>
                <c:pt idx="20">
                  <c:v>46069</c:v>
                </c:pt>
                <c:pt idx="21">
                  <c:v>46076</c:v>
                </c:pt>
                <c:pt idx="22">
                  <c:v>46083</c:v>
                </c:pt>
                <c:pt idx="23">
                  <c:v>46090</c:v>
                </c:pt>
                <c:pt idx="24">
                  <c:v>46097</c:v>
                </c:pt>
                <c:pt idx="25">
                  <c:v>46104</c:v>
                </c:pt>
                <c:pt idx="26">
                  <c:v>46111</c:v>
                </c:pt>
                <c:pt idx="27">
                  <c:v>46118</c:v>
                </c:pt>
                <c:pt idx="28">
                  <c:v>46125</c:v>
                </c:pt>
                <c:pt idx="29">
                  <c:v>46132</c:v>
                </c:pt>
                <c:pt idx="30">
                  <c:v>46139</c:v>
                </c:pt>
                <c:pt idx="31">
                  <c:v>46146</c:v>
                </c:pt>
                <c:pt idx="32">
                  <c:v>46153</c:v>
                </c:pt>
                <c:pt idx="33">
                  <c:v>46160</c:v>
                </c:pt>
                <c:pt idx="34">
                  <c:v>46167</c:v>
                </c:pt>
                <c:pt idx="35">
                  <c:v>46174</c:v>
                </c:pt>
                <c:pt idx="36">
                  <c:v>46181</c:v>
                </c:pt>
                <c:pt idx="37">
                  <c:v>46188</c:v>
                </c:pt>
                <c:pt idx="38">
                  <c:v>46195</c:v>
                </c:pt>
                <c:pt idx="39">
                  <c:v>46202</c:v>
                </c:pt>
                <c:pt idx="40">
                  <c:v>46209</c:v>
                </c:pt>
                <c:pt idx="41">
                  <c:v>46216</c:v>
                </c:pt>
                <c:pt idx="42">
                  <c:v>46223</c:v>
                </c:pt>
                <c:pt idx="43">
                  <c:v>46230</c:v>
                </c:pt>
                <c:pt idx="44">
                  <c:v>46237</c:v>
                </c:pt>
                <c:pt idx="45">
                  <c:v>46244</c:v>
                </c:pt>
                <c:pt idx="46">
                  <c:v>46251</c:v>
                </c:pt>
                <c:pt idx="47">
                  <c:v>46258</c:v>
                </c:pt>
                <c:pt idx="48">
                  <c:v>46265</c:v>
                </c:pt>
                <c:pt idx="49">
                  <c:v>46272</c:v>
                </c:pt>
                <c:pt idx="50">
                  <c:v>46279</c:v>
                </c:pt>
                <c:pt idx="51">
                  <c:v>46286</c:v>
                </c:pt>
                <c:pt idx="52">
                  <c:v>46293</c:v>
                </c:pt>
                <c:pt idx="53">
                  <c:v>46300</c:v>
                </c:pt>
                <c:pt idx="54">
                  <c:v>46307</c:v>
                </c:pt>
                <c:pt idx="55">
                  <c:v>46314</c:v>
                </c:pt>
                <c:pt idx="56">
                  <c:v>46321</c:v>
                </c:pt>
                <c:pt idx="57">
                  <c:v>46328</c:v>
                </c:pt>
                <c:pt idx="58">
                  <c:v>46335</c:v>
                </c:pt>
                <c:pt idx="59">
                  <c:v>46342</c:v>
                </c:pt>
                <c:pt idx="60">
                  <c:v>46349</c:v>
                </c:pt>
                <c:pt idx="61">
                  <c:v>46356</c:v>
                </c:pt>
                <c:pt idx="62">
                  <c:v>46363</c:v>
                </c:pt>
                <c:pt idx="63">
                  <c:v>46370</c:v>
                </c:pt>
                <c:pt idx="64">
                  <c:v>46377</c:v>
                </c:pt>
              </c:numCache>
            </c:numRef>
          </c:cat>
          <c:val>
            <c:numRef>
              <c:f>'Data and Forecast'!$AD$3:$AD$67</c:f>
              <c:numCache>
                <c:formatCode>General</c:formatCode>
                <c:ptCount val="65"/>
                <c:pt idx="28">
                  <c:v>2385</c:v>
                </c:pt>
                <c:pt idx="29">
                  <c:v>2989.0729802955661</c:v>
                </c:pt>
                <c:pt idx="30">
                  <c:v>3039.227926108374</c:v>
                </c:pt>
                <c:pt idx="31">
                  <c:v>3089.382871921182</c:v>
                </c:pt>
                <c:pt idx="32">
                  <c:v>3139.5378177339899</c:v>
                </c:pt>
                <c:pt idx="33">
                  <c:v>3189.6927635467982</c:v>
                </c:pt>
                <c:pt idx="34">
                  <c:v>3239.8477093596057</c:v>
                </c:pt>
                <c:pt idx="35">
                  <c:v>3290.0026551724136</c:v>
                </c:pt>
                <c:pt idx="36">
                  <c:v>3340.1576009852215</c:v>
                </c:pt>
                <c:pt idx="37">
                  <c:v>3390.312546798029</c:v>
                </c:pt>
                <c:pt idx="38">
                  <c:v>3440.4674926108369</c:v>
                </c:pt>
                <c:pt idx="39">
                  <c:v>3490.6224384236452</c:v>
                </c:pt>
                <c:pt idx="40">
                  <c:v>3540.7773842364527</c:v>
                </c:pt>
                <c:pt idx="41">
                  <c:v>3590.9323300492615</c:v>
                </c:pt>
                <c:pt idx="42">
                  <c:v>3641.0872758620681</c:v>
                </c:pt>
                <c:pt idx="43">
                  <c:v>3691.2422216748773</c:v>
                </c:pt>
                <c:pt idx="44">
                  <c:v>3741.3971674876839</c:v>
                </c:pt>
                <c:pt idx="45">
                  <c:v>3791.5521133004931</c:v>
                </c:pt>
                <c:pt idx="46">
                  <c:v>3841.7070591132997</c:v>
                </c:pt>
                <c:pt idx="47">
                  <c:v>3891.862004926109</c:v>
                </c:pt>
                <c:pt idx="48">
                  <c:v>3942.0169507389155</c:v>
                </c:pt>
                <c:pt idx="49">
                  <c:v>3992.1718965517248</c:v>
                </c:pt>
                <c:pt idx="50">
                  <c:v>4042.3268423645313</c:v>
                </c:pt>
                <c:pt idx="51">
                  <c:v>4092.4817881773401</c:v>
                </c:pt>
                <c:pt idx="52">
                  <c:v>4142.6367339901471</c:v>
                </c:pt>
                <c:pt idx="53">
                  <c:v>4192.7916798029555</c:v>
                </c:pt>
                <c:pt idx="54">
                  <c:v>4242.9466256157639</c:v>
                </c:pt>
                <c:pt idx="55">
                  <c:v>4293.1015714285704</c:v>
                </c:pt>
                <c:pt idx="56">
                  <c:v>4343.2565172413797</c:v>
                </c:pt>
                <c:pt idx="57">
                  <c:v>4393.4114630541853</c:v>
                </c:pt>
                <c:pt idx="58">
                  <c:v>4443.5664088669946</c:v>
                </c:pt>
                <c:pt idx="59">
                  <c:v>4493.7213546798021</c:v>
                </c:pt>
                <c:pt idx="60">
                  <c:v>4543.8763004926113</c:v>
                </c:pt>
                <c:pt idx="61">
                  <c:v>4594.0312463054179</c:v>
                </c:pt>
                <c:pt idx="62">
                  <c:v>4644.1861921182272</c:v>
                </c:pt>
                <c:pt idx="63">
                  <c:v>4694.3411379310337</c:v>
                </c:pt>
                <c:pt idx="64">
                  <c:v>4744.496083743843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7F-424E-B705-94EA1AC8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039104"/>
        <c:axId val="1482041024"/>
      </c:lineChart>
      <c:dateAx>
        <c:axId val="148202134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015104"/>
        <c:crosses val="autoZero"/>
        <c:auto val="1"/>
        <c:lblOffset val="100"/>
        <c:baseTimeUnit val="days"/>
      </c:dateAx>
      <c:valAx>
        <c:axId val="14820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Total Sales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Aptos Narrow"/>
                  <a:cs typeface="Aptos Narrow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021344"/>
        <c:crosses val="autoZero"/>
        <c:crossBetween val="between"/>
      </c:valAx>
      <c:valAx>
        <c:axId val="1482041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Aptos Narrow"/>
                  <a:cs typeface="Aptos Narrow"/>
                </a:defRPr>
              </a:pPr>
              <a:endParaRPr lang="en-US"/>
            </a:p>
          </c:txPr>
        </c:title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039104"/>
        <c:crosses val="max"/>
        <c:crossBetween val="between"/>
      </c:valAx>
      <c:dateAx>
        <c:axId val="14820391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2041024"/>
        <c:crosses val="autoZero"/>
        <c:auto val="1"/>
        <c:lblOffset val="100"/>
        <c:baseTimeUnit val="days"/>
      </c:date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16494</xdr:colOff>
      <xdr:row>0</xdr:row>
      <xdr:rowOff>0</xdr:rowOff>
    </xdr:from>
    <xdr:to>
      <xdr:col>32</xdr:col>
      <xdr:colOff>123701</xdr:colOff>
      <xdr:row>25</xdr:row>
      <xdr:rowOff>24327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A1243C-4155-ACCB-1B96-B403003D0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955F4A-7FB8-46E0-97EA-EBDAB73A66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45fd0f5-fc86-4b50-bc22-b9acf653cd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426F-5171-4433-8E64-FDE113AA04D6}">
  <dimension ref="A1:X296"/>
  <sheetViews>
    <sheetView topLeftCell="A11" workbookViewId="0">
      <selection activeCell="P7" sqref="P7"/>
    </sheetView>
  </sheetViews>
  <sheetFormatPr defaultRowHeight="15" x14ac:dyDescent="0.25"/>
  <cols>
    <col min="1" max="1" width="9.28515625" style="2" customWidth="1"/>
    <col min="2" max="2" width="9.28515625" style="10" customWidth="1"/>
    <col min="3" max="3" width="9.28515625" style="12" customWidth="1"/>
    <col min="4" max="4" width="9.28515625" style="14" customWidth="1"/>
    <col min="5" max="5" width="9.28515625" style="10" customWidth="1"/>
    <col min="6" max="6" width="9.28515625" style="12" customWidth="1"/>
    <col min="7" max="7" width="9.28515625" style="14" customWidth="1"/>
    <col min="8" max="8" width="9.28515625" style="10" customWidth="1"/>
    <col min="9" max="9" width="9.28515625" style="12" customWidth="1"/>
    <col min="10" max="10" width="9.28515625" style="14" customWidth="1"/>
    <col min="11" max="11" width="9.28515625" style="10" customWidth="1"/>
    <col min="12" max="12" width="9.28515625" style="12" customWidth="1"/>
    <col min="13" max="13" width="9.28515625" style="14" customWidth="1"/>
  </cols>
  <sheetData>
    <row r="1" spans="1:24" ht="24.95" customHeight="1" x14ac:dyDescent="0.3">
      <c r="A1" s="80" t="s">
        <v>1</v>
      </c>
      <c r="B1" s="75" t="s">
        <v>5</v>
      </c>
      <c r="C1" s="75"/>
      <c r="D1" s="75"/>
      <c r="E1" s="76" t="s">
        <v>6</v>
      </c>
      <c r="F1" s="76"/>
      <c r="G1" s="76"/>
      <c r="H1" s="77" t="s">
        <v>7</v>
      </c>
      <c r="I1" s="77"/>
      <c r="J1" s="77"/>
      <c r="K1" s="78" t="s">
        <v>8</v>
      </c>
      <c r="L1" s="78"/>
      <c r="M1" s="78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4.95" customHeight="1" x14ac:dyDescent="0.3">
      <c r="A2" s="80"/>
      <c r="B2" s="8" t="s">
        <v>2</v>
      </c>
      <c r="C2" s="4" t="s">
        <v>3</v>
      </c>
      <c r="D2" s="5" t="s">
        <v>4</v>
      </c>
      <c r="E2" s="8" t="s">
        <v>2</v>
      </c>
      <c r="F2" s="4" t="s">
        <v>3</v>
      </c>
      <c r="G2" s="5" t="s">
        <v>4</v>
      </c>
      <c r="H2" s="8" t="s">
        <v>2</v>
      </c>
      <c r="I2" s="4" t="s">
        <v>3</v>
      </c>
      <c r="J2" s="5" t="s">
        <v>4</v>
      </c>
      <c r="K2" s="8" t="s">
        <v>2</v>
      </c>
      <c r="L2" s="4" t="s">
        <v>3</v>
      </c>
      <c r="M2" s="5" t="s">
        <v>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1" customFormat="1" ht="60" customHeight="1" x14ac:dyDescent="0.25">
      <c r="A3" s="3">
        <v>46048</v>
      </c>
      <c r="B3" s="9"/>
      <c r="C3" s="11"/>
      <c r="D3" s="13"/>
      <c r="E3" s="9"/>
      <c r="F3" s="11"/>
      <c r="G3" s="13"/>
      <c r="H3" s="9"/>
      <c r="I3" s="11"/>
      <c r="J3" s="13"/>
      <c r="K3" s="9"/>
      <c r="L3" s="11"/>
      <c r="M3" s="13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s="1" customFormat="1" ht="60" customHeight="1" x14ac:dyDescent="0.25">
      <c r="A4" s="3">
        <v>46055</v>
      </c>
      <c r="B4" s="9"/>
      <c r="C4" s="11"/>
      <c r="D4" s="13"/>
      <c r="E4" s="9"/>
      <c r="F4" s="11"/>
      <c r="G4" s="13"/>
      <c r="H4" s="9"/>
      <c r="I4" s="11"/>
      <c r="J4" s="13"/>
      <c r="K4" s="9"/>
      <c r="L4" s="11"/>
      <c r="M4" s="13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s="1" customFormat="1" ht="60" customHeight="1" x14ac:dyDescent="0.25">
      <c r="A5" s="3">
        <v>46062</v>
      </c>
      <c r="B5" s="9"/>
      <c r="C5" s="11"/>
      <c r="D5" s="13"/>
      <c r="E5" s="9"/>
      <c r="F5" s="11"/>
      <c r="G5" s="13"/>
      <c r="H5" s="9"/>
      <c r="I5" s="11"/>
      <c r="J5" s="13"/>
      <c r="K5" s="9"/>
      <c r="L5" s="11"/>
      <c r="M5" s="13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s="1" customFormat="1" ht="60" customHeight="1" x14ac:dyDescent="0.25">
      <c r="A6" s="3">
        <v>46069</v>
      </c>
      <c r="B6" s="9"/>
      <c r="C6" s="11"/>
      <c r="D6" s="13"/>
      <c r="E6" s="9"/>
      <c r="F6" s="11"/>
      <c r="G6" s="13"/>
      <c r="H6" s="9"/>
      <c r="I6" s="11"/>
      <c r="J6" s="13"/>
      <c r="K6" s="9"/>
      <c r="L6" s="11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s="1" customFormat="1" ht="60" customHeight="1" x14ac:dyDescent="0.25">
      <c r="A7" s="3">
        <v>46076</v>
      </c>
      <c r="B7" s="9"/>
      <c r="C7" s="11"/>
      <c r="D7" s="13"/>
      <c r="E7" s="9"/>
      <c r="F7" s="11"/>
      <c r="G7" s="13"/>
      <c r="H7" s="9"/>
      <c r="I7" s="11"/>
      <c r="J7" s="13"/>
      <c r="K7" s="9"/>
      <c r="L7" s="11"/>
      <c r="M7" s="13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s="1" customFormat="1" ht="60" customHeight="1" x14ac:dyDescent="0.25">
      <c r="A8" s="3">
        <v>46083</v>
      </c>
      <c r="B8" s="9"/>
      <c r="C8" s="11"/>
      <c r="D8" s="13"/>
      <c r="E8" s="9"/>
      <c r="F8" s="11"/>
      <c r="G8" s="13"/>
      <c r="H8" s="9"/>
      <c r="I8" s="11"/>
      <c r="J8" s="13"/>
      <c r="K8" s="9"/>
      <c r="L8" s="11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s="1" customFormat="1" ht="60" customHeight="1" x14ac:dyDescent="0.25">
      <c r="A9" s="3">
        <v>46090</v>
      </c>
      <c r="B9" s="9"/>
      <c r="C9" s="11"/>
      <c r="D9" s="13"/>
      <c r="E9" s="9"/>
      <c r="F9" s="11"/>
      <c r="G9" s="13"/>
      <c r="H9" s="9"/>
      <c r="I9" s="11"/>
      <c r="J9" s="13"/>
      <c r="K9" s="9"/>
      <c r="L9" s="11"/>
      <c r="M9" s="13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s="1" customFormat="1" ht="60" customHeight="1" x14ac:dyDescent="0.25">
      <c r="A10" s="3">
        <v>46097</v>
      </c>
      <c r="B10" s="9"/>
      <c r="C10" s="11"/>
      <c r="D10" s="13"/>
      <c r="E10" s="9"/>
      <c r="F10" s="11"/>
      <c r="G10" s="13"/>
      <c r="H10" s="9"/>
      <c r="I10" s="11"/>
      <c r="J10" s="13"/>
      <c r="K10" s="9"/>
      <c r="L10" s="11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s="1" customFormat="1" ht="60" customHeight="1" x14ac:dyDescent="0.25">
      <c r="A11" s="3">
        <v>46104</v>
      </c>
      <c r="B11" s="9"/>
      <c r="C11" s="11"/>
      <c r="D11" s="13"/>
      <c r="E11" s="9"/>
      <c r="F11" s="11"/>
      <c r="G11" s="13"/>
      <c r="H11" s="9"/>
      <c r="I11" s="11"/>
      <c r="J11" s="13"/>
      <c r="K11" s="9"/>
      <c r="L11" s="11"/>
      <c r="M11" s="1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s="1" customFormat="1" ht="60" customHeight="1" x14ac:dyDescent="0.25">
      <c r="A12" s="3">
        <v>46111</v>
      </c>
      <c r="B12" s="9"/>
      <c r="C12" s="11"/>
      <c r="D12" s="13"/>
      <c r="E12" s="9"/>
      <c r="F12" s="11"/>
      <c r="G12" s="13"/>
      <c r="H12" s="9"/>
      <c r="I12" s="11"/>
      <c r="J12" s="13"/>
      <c r="K12" s="9"/>
      <c r="L12" s="11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s="1" customFormat="1" ht="60" customHeight="1" x14ac:dyDescent="0.25">
      <c r="A13" s="3">
        <v>46118</v>
      </c>
      <c r="B13" s="9"/>
      <c r="C13" s="11"/>
      <c r="D13" s="13"/>
      <c r="E13" s="9"/>
      <c r="F13" s="11"/>
      <c r="G13" s="13"/>
      <c r="H13" s="9"/>
      <c r="I13" s="11"/>
      <c r="J13" s="13"/>
      <c r="K13" s="9"/>
      <c r="L13" s="11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s="1" customFormat="1" ht="60" customHeight="1" x14ac:dyDescent="0.25">
      <c r="A14" s="3">
        <v>46125</v>
      </c>
      <c r="B14" s="9"/>
      <c r="C14" s="11"/>
      <c r="D14" s="13"/>
      <c r="E14" s="9"/>
      <c r="F14" s="11"/>
      <c r="G14" s="13"/>
      <c r="H14" s="9"/>
      <c r="I14" s="11"/>
      <c r="J14" s="13"/>
      <c r="K14" s="9"/>
      <c r="L14" s="11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s="1" customFormat="1" ht="60" customHeight="1" x14ac:dyDescent="0.25">
      <c r="A15" s="3">
        <v>46132</v>
      </c>
      <c r="B15" s="9"/>
      <c r="C15" s="11"/>
      <c r="D15" s="13"/>
      <c r="E15" s="9"/>
      <c r="F15" s="11"/>
      <c r="G15" s="13"/>
      <c r="H15" s="9"/>
      <c r="I15" s="11"/>
      <c r="J15" s="13"/>
      <c r="K15" s="9"/>
      <c r="L15" s="11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1" customFormat="1" ht="60" customHeight="1" x14ac:dyDescent="0.25">
      <c r="A16" s="3">
        <v>46139</v>
      </c>
      <c r="B16" s="9"/>
      <c r="C16" s="11"/>
      <c r="D16" s="13"/>
      <c r="E16" s="9"/>
      <c r="F16" s="11"/>
      <c r="G16" s="13"/>
      <c r="H16" s="9"/>
      <c r="I16" s="11"/>
      <c r="J16" s="13"/>
      <c r="K16" s="9"/>
      <c r="L16" s="11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s="1" customFormat="1" ht="60" customHeight="1" x14ac:dyDescent="0.25">
      <c r="A17" s="3">
        <v>46146</v>
      </c>
      <c r="B17" s="9"/>
      <c r="C17" s="11"/>
      <c r="D17" s="13"/>
      <c r="E17" s="9"/>
      <c r="F17" s="11"/>
      <c r="G17" s="13"/>
      <c r="H17" s="9"/>
      <c r="I17" s="11"/>
      <c r="J17" s="13"/>
      <c r="K17" s="9"/>
      <c r="L17" s="11"/>
      <c r="M17" s="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s="1" customFormat="1" ht="60" customHeight="1" x14ac:dyDescent="0.25">
      <c r="A18" s="3">
        <v>46153</v>
      </c>
      <c r="B18" s="9"/>
      <c r="C18" s="11"/>
      <c r="D18" s="13"/>
      <c r="E18" s="9"/>
      <c r="F18" s="11"/>
      <c r="G18" s="13"/>
      <c r="H18" s="9"/>
      <c r="I18" s="11"/>
      <c r="J18" s="13"/>
      <c r="K18" s="9"/>
      <c r="L18" s="11"/>
      <c r="M18" s="13"/>
      <c r="N18" s="7"/>
      <c r="O18" s="7"/>
      <c r="P18" s="7"/>
      <c r="Q18" s="7"/>
      <c r="R18" s="7"/>
      <c r="S18" s="7"/>
      <c r="T18" s="7"/>
      <c r="U18" s="7"/>
    </row>
    <row r="19" spans="1:24" s="1" customFormat="1" ht="60" customHeight="1" x14ac:dyDescent="0.25">
      <c r="A19" s="3">
        <v>46160</v>
      </c>
      <c r="B19" s="9"/>
      <c r="C19" s="11"/>
      <c r="D19" s="13"/>
      <c r="E19" s="9"/>
      <c r="F19" s="11"/>
      <c r="G19" s="13"/>
      <c r="H19" s="9"/>
      <c r="I19" s="11"/>
      <c r="J19" s="13"/>
      <c r="K19" s="9"/>
      <c r="L19" s="11"/>
      <c r="M19" s="13"/>
      <c r="N19" s="7"/>
      <c r="O19" s="7"/>
      <c r="P19" s="7"/>
      <c r="Q19" s="7"/>
      <c r="R19" s="7"/>
      <c r="S19" s="7"/>
      <c r="T19" s="7"/>
      <c r="U19" s="7"/>
    </row>
    <row r="20" spans="1:24" s="1" customFormat="1" ht="15" customHeight="1" x14ac:dyDescent="0.25">
      <c r="A20" s="1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4" s="1" customFormat="1" ht="15" customHeight="1" x14ac:dyDescent="0.25">
      <c r="A21" s="1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4" s="1" customFormat="1" ht="15" customHeight="1" x14ac:dyDescent="0.25">
      <c r="A22" s="1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4" s="1" customFormat="1" ht="15" customHeight="1" x14ac:dyDescent="0.25">
      <c r="A23" s="1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4" ht="15" customHeight="1" x14ac:dyDescent="0.3">
      <c r="A24" s="1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4" ht="15" customHeight="1" x14ac:dyDescent="0.3">
      <c r="A25" s="1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4" ht="15" customHeight="1" x14ac:dyDescent="0.3">
      <c r="A26" s="1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4" ht="15" customHeight="1" x14ac:dyDescent="0.3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4" ht="15" customHeight="1" x14ac:dyDescent="0.3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4" ht="15" customHeight="1" x14ac:dyDescent="0.3">
      <c r="A29" s="1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4" ht="15" customHeight="1" x14ac:dyDescent="0.3">
      <c r="A30" s="1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4" ht="15" customHeight="1" x14ac:dyDescent="0.3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4" ht="15" customHeight="1" x14ac:dyDescent="0.3">
      <c r="A32" s="1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13" ht="15" customHeight="1" x14ac:dyDescent="0.25">
      <c r="A33" s="17"/>
      <c r="B33"/>
      <c r="C33"/>
      <c r="D33"/>
      <c r="E33"/>
      <c r="F33"/>
      <c r="G33"/>
      <c r="H33"/>
      <c r="I33"/>
      <c r="J33"/>
      <c r="K33"/>
      <c r="L33"/>
      <c r="M33"/>
    </row>
    <row r="34" spans="1:13" ht="15" customHeight="1" x14ac:dyDescent="0.25">
      <c r="B34"/>
      <c r="C34"/>
      <c r="D34"/>
      <c r="E34"/>
      <c r="F34"/>
      <c r="G34"/>
      <c r="H34"/>
      <c r="I34"/>
      <c r="J34"/>
      <c r="K34"/>
      <c r="L34"/>
      <c r="M34"/>
    </row>
    <row r="35" spans="1:13" ht="15" customHeight="1" x14ac:dyDescent="0.25">
      <c r="B35"/>
      <c r="C35"/>
      <c r="D35"/>
      <c r="E35"/>
      <c r="F35"/>
      <c r="G35"/>
      <c r="H35"/>
      <c r="I35"/>
      <c r="J35"/>
      <c r="K35"/>
      <c r="L35"/>
      <c r="M35"/>
    </row>
    <row r="36" spans="1:13" ht="15" customHeight="1" x14ac:dyDescent="0.25">
      <c r="B36"/>
      <c r="C36"/>
      <c r="D36"/>
      <c r="E36"/>
      <c r="F36"/>
      <c r="G36"/>
      <c r="H36"/>
      <c r="I36"/>
      <c r="J36"/>
      <c r="K36"/>
      <c r="L36"/>
      <c r="M36"/>
    </row>
    <row r="37" spans="1:13" ht="15" customHeight="1" x14ac:dyDescent="0.25">
      <c r="B37"/>
      <c r="C37"/>
      <c r="D37"/>
      <c r="E37"/>
      <c r="F37"/>
      <c r="G37"/>
      <c r="H37"/>
      <c r="I37"/>
      <c r="J37"/>
      <c r="K37"/>
      <c r="L37"/>
      <c r="M37"/>
    </row>
    <row r="38" spans="1:13" ht="15" customHeight="1" x14ac:dyDescent="0.25">
      <c r="B38"/>
      <c r="C38"/>
      <c r="D38"/>
      <c r="E38"/>
      <c r="F38"/>
      <c r="G38"/>
      <c r="H38"/>
      <c r="I38"/>
      <c r="J38"/>
      <c r="K38"/>
      <c r="L38"/>
      <c r="M38"/>
    </row>
    <row r="39" spans="1:13" ht="15" customHeight="1" x14ac:dyDescent="0.25">
      <c r="B39"/>
      <c r="C39"/>
      <c r="D39"/>
      <c r="E39"/>
      <c r="F39"/>
      <c r="G39"/>
      <c r="H39"/>
      <c r="I39"/>
      <c r="J39"/>
      <c r="K39"/>
      <c r="L39"/>
      <c r="M39"/>
    </row>
    <row r="40" spans="1:13" ht="15" customHeight="1" x14ac:dyDescent="0.25">
      <c r="B40"/>
      <c r="C40"/>
      <c r="D40"/>
      <c r="E40"/>
      <c r="F40"/>
      <c r="G40"/>
      <c r="H40"/>
      <c r="I40"/>
      <c r="J40"/>
      <c r="K40"/>
      <c r="L40"/>
      <c r="M40"/>
    </row>
    <row r="41" spans="1:13" ht="15" customHeight="1" x14ac:dyDescent="0.25">
      <c r="B41"/>
      <c r="C41"/>
      <c r="D41"/>
      <c r="E41"/>
      <c r="F41"/>
      <c r="G41"/>
      <c r="H41"/>
      <c r="I41"/>
      <c r="J41"/>
      <c r="K41"/>
      <c r="L41"/>
      <c r="M41"/>
    </row>
    <row r="42" spans="1:13" ht="15" customHeight="1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1:13" ht="15" customHeight="1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1:13" ht="15" customHeight="1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1:13" ht="15" customHeight="1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1:13" ht="15" customHeight="1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1:13" ht="15" customHeight="1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1:13" ht="15" customHeight="1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customHeight="1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customHeight="1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customHeight="1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customHeight="1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customHeight="1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customHeight="1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customHeight="1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customHeight="1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customHeight="1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customHeight="1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customHeight="1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customHeight="1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customHeight="1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customHeight="1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customHeight="1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customHeight="1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customHeight="1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customHeight="1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customHeight="1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customHeight="1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customHeight="1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customHeight="1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customHeight="1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customHeight="1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customHeight="1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customHeight="1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customHeight="1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customHeight="1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customHeight="1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customHeight="1" x14ac:dyDescent="0.25">
      <c r="B78"/>
      <c r="C78"/>
      <c r="D78"/>
      <c r="E78"/>
      <c r="F78"/>
      <c r="G78"/>
      <c r="H78"/>
      <c r="I78"/>
      <c r="J78"/>
      <c r="K78"/>
      <c r="L78"/>
      <c r="M78"/>
    </row>
    <row r="79" spans="2:13" ht="15" customHeight="1" x14ac:dyDescent="0.25">
      <c r="B79"/>
      <c r="C79"/>
      <c r="D79"/>
      <c r="E79"/>
      <c r="F79"/>
      <c r="G79"/>
      <c r="H79"/>
      <c r="I79"/>
      <c r="J79"/>
      <c r="K79"/>
      <c r="L79"/>
      <c r="M79"/>
    </row>
    <row r="80" spans="2:13" ht="15" customHeight="1" x14ac:dyDescent="0.25">
      <c r="B80"/>
      <c r="C80"/>
      <c r="D80"/>
      <c r="E80"/>
      <c r="F80"/>
      <c r="G80"/>
      <c r="H80"/>
      <c r="I80"/>
      <c r="J80"/>
      <c r="K80"/>
      <c r="L80"/>
      <c r="M80"/>
    </row>
    <row r="81" spans="2:13" ht="15" customHeight="1" x14ac:dyDescent="0.25">
      <c r="B81"/>
      <c r="C81"/>
      <c r="D81"/>
      <c r="E81"/>
      <c r="F81"/>
      <c r="G81"/>
      <c r="H81"/>
      <c r="I81"/>
      <c r="J81"/>
      <c r="K81"/>
      <c r="L81"/>
      <c r="M81"/>
    </row>
    <row r="82" spans="2:13" ht="15" customHeight="1" x14ac:dyDescent="0.25">
      <c r="B82"/>
      <c r="C82"/>
      <c r="D82"/>
      <c r="E82"/>
      <c r="F82"/>
      <c r="G82"/>
      <c r="H82"/>
      <c r="I82"/>
      <c r="J82"/>
      <c r="K82"/>
      <c r="L82"/>
      <c r="M82"/>
    </row>
    <row r="83" spans="2:13" ht="15" customHeight="1" x14ac:dyDescent="0.25">
      <c r="B83"/>
      <c r="C83"/>
      <c r="D83"/>
      <c r="E83"/>
      <c r="F83"/>
      <c r="G83"/>
      <c r="H83"/>
      <c r="I83"/>
      <c r="J83"/>
      <c r="K83"/>
      <c r="L83"/>
      <c r="M83"/>
    </row>
    <row r="84" spans="2:13" ht="15" customHeight="1" x14ac:dyDescent="0.25">
      <c r="B84"/>
      <c r="C84"/>
      <c r="D84"/>
      <c r="E84"/>
      <c r="F84"/>
      <c r="G84"/>
      <c r="H84"/>
      <c r="I84"/>
      <c r="J84"/>
      <c r="K84"/>
      <c r="L84"/>
      <c r="M84"/>
    </row>
    <row r="85" spans="2:13" ht="15" customHeight="1" x14ac:dyDescent="0.25">
      <c r="B85"/>
      <c r="C85"/>
      <c r="D85"/>
      <c r="E85"/>
      <c r="F85"/>
      <c r="G85"/>
      <c r="H85"/>
      <c r="I85"/>
      <c r="J85"/>
      <c r="K85"/>
      <c r="L85"/>
      <c r="M85"/>
    </row>
    <row r="86" spans="2:13" ht="15" customHeight="1" x14ac:dyDescent="0.25">
      <c r="B86"/>
      <c r="C86"/>
      <c r="D86"/>
      <c r="E86"/>
      <c r="F86"/>
      <c r="G86"/>
      <c r="H86"/>
      <c r="I86"/>
      <c r="J86"/>
      <c r="K86"/>
      <c r="L86"/>
      <c r="M86"/>
    </row>
    <row r="87" spans="2:13" ht="15" customHeight="1" x14ac:dyDescent="0.25">
      <c r="B87"/>
      <c r="C87"/>
      <c r="D87"/>
      <c r="E87"/>
      <c r="F87"/>
      <c r="G87"/>
      <c r="H87"/>
      <c r="I87"/>
      <c r="J87"/>
      <c r="K87"/>
      <c r="L87"/>
      <c r="M87"/>
    </row>
    <row r="88" spans="2:13" ht="15" customHeight="1" x14ac:dyDescent="0.25">
      <c r="B88"/>
      <c r="C88"/>
      <c r="D88"/>
      <c r="E88"/>
      <c r="F88"/>
      <c r="G88"/>
      <c r="H88"/>
      <c r="I88"/>
      <c r="J88"/>
      <c r="K88"/>
      <c r="L88"/>
      <c r="M88"/>
    </row>
    <row r="89" spans="2:13" ht="15" customHeight="1" x14ac:dyDescent="0.25">
      <c r="B89"/>
      <c r="C89"/>
      <c r="D89"/>
      <c r="E89"/>
      <c r="F89"/>
      <c r="G89"/>
      <c r="H89"/>
      <c r="I89"/>
      <c r="J89"/>
      <c r="K89"/>
      <c r="L89"/>
      <c r="M89"/>
    </row>
    <row r="90" spans="2:13" ht="15" customHeight="1" x14ac:dyDescent="0.25">
      <c r="B90"/>
      <c r="C90"/>
      <c r="D90"/>
      <c r="E90"/>
      <c r="F90"/>
      <c r="G90"/>
      <c r="H90"/>
      <c r="I90"/>
      <c r="J90"/>
      <c r="K90"/>
      <c r="L90"/>
      <c r="M90"/>
    </row>
    <row r="91" spans="2:13" ht="15" customHeight="1" x14ac:dyDescent="0.25">
      <c r="B91"/>
      <c r="C91"/>
      <c r="D91"/>
      <c r="E91"/>
      <c r="F91"/>
      <c r="G91"/>
      <c r="H91"/>
      <c r="I91"/>
      <c r="J91"/>
      <c r="K91"/>
      <c r="L91"/>
      <c r="M91"/>
    </row>
    <row r="92" spans="2:13" ht="15" customHeight="1" x14ac:dyDescent="0.25">
      <c r="B92"/>
      <c r="C92"/>
      <c r="D92"/>
      <c r="E92"/>
      <c r="F92"/>
      <c r="G92"/>
      <c r="H92"/>
      <c r="I92"/>
      <c r="J92"/>
      <c r="K92"/>
      <c r="L92"/>
      <c r="M92"/>
    </row>
    <row r="93" spans="2:13" ht="15" customHeight="1" x14ac:dyDescent="0.25">
      <c r="B93"/>
      <c r="C93"/>
      <c r="D93"/>
      <c r="E93"/>
      <c r="F93"/>
      <c r="G93"/>
      <c r="H93"/>
      <c r="I93"/>
      <c r="J93"/>
      <c r="K93"/>
      <c r="L93"/>
      <c r="M93"/>
    </row>
    <row r="94" spans="2:13" ht="15" customHeight="1" x14ac:dyDescent="0.25">
      <c r="B94"/>
      <c r="C94"/>
      <c r="D94"/>
      <c r="E94"/>
      <c r="F94"/>
      <c r="G94"/>
      <c r="H94"/>
      <c r="I94"/>
      <c r="J94"/>
      <c r="K94"/>
      <c r="L94"/>
      <c r="M94"/>
    </row>
    <row r="95" spans="2:13" ht="15" customHeight="1" x14ac:dyDescent="0.25">
      <c r="B95"/>
      <c r="C95"/>
      <c r="D95"/>
      <c r="E95"/>
      <c r="F95"/>
      <c r="G95"/>
      <c r="H95"/>
      <c r="I95"/>
      <c r="J95"/>
      <c r="K95"/>
      <c r="L95"/>
      <c r="M95"/>
    </row>
    <row r="96" spans="2:13" ht="15" customHeight="1" x14ac:dyDescent="0.25">
      <c r="B96"/>
      <c r="C96"/>
      <c r="D96"/>
      <c r="E96"/>
      <c r="F96"/>
      <c r="G96"/>
      <c r="H96"/>
      <c r="I96"/>
      <c r="J96"/>
      <c r="K96"/>
      <c r="L96"/>
      <c r="M96"/>
    </row>
    <row r="97" spans="2:13" ht="15" customHeight="1" x14ac:dyDescent="0.25">
      <c r="B97"/>
      <c r="C97"/>
      <c r="D97"/>
      <c r="E97"/>
      <c r="F97"/>
      <c r="G97"/>
      <c r="H97"/>
      <c r="I97"/>
      <c r="J97"/>
      <c r="K97"/>
      <c r="L97"/>
      <c r="M97"/>
    </row>
    <row r="98" spans="2:13" ht="15" customHeight="1" x14ac:dyDescent="0.25">
      <c r="B98"/>
      <c r="C98"/>
      <c r="D98"/>
      <c r="E98"/>
      <c r="F98"/>
      <c r="G98"/>
      <c r="H98"/>
      <c r="I98"/>
      <c r="J98"/>
      <c r="K98"/>
      <c r="L98"/>
      <c r="M98"/>
    </row>
    <row r="99" spans="2:13" ht="15" customHeight="1" x14ac:dyDescent="0.25">
      <c r="B99"/>
      <c r="C99"/>
      <c r="D99"/>
      <c r="E99"/>
      <c r="F99"/>
      <c r="G99"/>
      <c r="H99"/>
      <c r="I99"/>
      <c r="J99"/>
      <c r="K99"/>
      <c r="L99"/>
      <c r="M99"/>
    </row>
    <row r="100" spans="2:13" ht="15" customHeight="1" x14ac:dyDescent="0.25">
      <c r="B100"/>
      <c r="C100"/>
      <c r="D100"/>
      <c r="E100"/>
      <c r="F100"/>
      <c r="G100"/>
      <c r="H100"/>
      <c r="I100"/>
      <c r="J100"/>
      <c r="K100"/>
      <c r="L100"/>
      <c r="M100"/>
    </row>
    <row r="101" spans="2:13" ht="15" customHeight="1" x14ac:dyDescent="0.25">
      <c r="B101"/>
      <c r="C101"/>
      <c r="D101"/>
      <c r="E101"/>
      <c r="F101"/>
      <c r="G101"/>
      <c r="H101"/>
      <c r="I101"/>
      <c r="J101"/>
      <c r="K101"/>
      <c r="L101"/>
      <c r="M101"/>
    </row>
    <row r="102" spans="2:13" ht="15" customHeight="1" x14ac:dyDescent="0.25">
      <c r="B102"/>
      <c r="C102"/>
      <c r="D102"/>
      <c r="E102"/>
      <c r="F102"/>
      <c r="G102"/>
      <c r="H102"/>
      <c r="I102"/>
      <c r="J102"/>
      <c r="K102"/>
      <c r="L102"/>
      <c r="M102"/>
    </row>
    <row r="103" spans="2:13" ht="15" customHeight="1" x14ac:dyDescent="0.25">
      <c r="B103"/>
      <c r="C103"/>
      <c r="D103"/>
      <c r="E103"/>
      <c r="F103"/>
      <c r="G103"/>
      <c r="H103"/>
      <c r="I103"/>
      <c r="J103"/>
      <c r="K103"/>
      <c r="L103"/>
      <c r="M103"/>
    </row>
    <row r="104" spans="2:13" ht="15" customHeight="1" x14ac:dyDescent="0.25">
      <c r="B104"/>
      <c r="C104"/>
      <c r="D104"/>
      <c r="E104"/>
      <c r="F104"/>
      <c r="G104"/>
      <c r="H104"/>
      <c r="I104"/>
      <c r="J104"/>
      <c r="K104"/>
      <c r="L104"/>
      <c r="M104"/>
    </row>
    <row r="105" spans="2:13" ht="15" customHeight="1" x14ac:dyDescent="0.25">
      <c r="B105"/>
      <c r="C105"/>
      <c r="D105"/>
      <c r="E105"/>
      <c r="F105"/>
      <c r="G105"/>
      <c r="H105"/>
      <c r="I105"/>
      <c r="J105"/>
      <c r="K105"/>
      <c r="L105"/>
      <c r="M105"/>
    </row>
    <row r="106" spans="2:13" ht="15" customHeight="1" x14ac:dyDescent="0.25">
      <c r="B106"/>
      <c r="C106"/>
      <c r="D106"/>
      <c r="E106"/>
      <c r="F106"/>
      <c r="G106"/>
      <c r="H106"/>
      <c r="I106"/>
      <c r="J106"/>
      <c r="K106"/>
      <c r="L106"/>
      <c r="M106"/>
    </row>
    <row r="107" spans="2:13" ht="15" customHeight="1" x14ac:dyDescent="0.25">
      <c r="B107"/>
      <c r="C107"/>
      <c r="D107"/>
      <c r="E107"/>
      <c r="F107"/>
      <c r="G107"/>
      <c r="H107"/>
      <c r="I107"/>
      <c r="J107"/>
      <c r="K107"/>
      <c r="L107"/>
      <c r="M107"/>
    </row>
    <row r="108" spans="2:13" ht="15" customHeight="1" x14ac:dyDescent="0.25">
      <c r="B108"/>
      <c r="C108"/>
      <c r="D108"/>
      <c r="E108"/>
      <c r="F108"/>
      <c r="G108"/>
      <c r="H108"/>
      <c r="I108"/>
      <c r="J108"/>
      <c r="K108"/>
      <c r="L108"/>
      <c r="M108"/>
    </row>
    <row r="109" spans="2:13" ht="15" customHeight="1" x14ac:dyDescent="0.25">
      <c r="B109"/>
      <c r="C109"/>
      <c r="D109"/>
      <c r="E109"/>
      <c r="F109"/>
      <c r="G109"/>
      <c r="H109"/>
      <c r="I109"/>
      <c r="J109"/>
      <c r="K109"/>
      <c r="L109"/>
      <c r="M109"/>
    </row>
    <row r="110" spans="2:13" ht="15" customHeight="1" x14ac:dyDescent="0.25">
      <c r="B110"/>
      <c r="C110"/>
      <c r="D110"/>
      <c r="E110"/>
      <c r="F110"/>
      <c r="G110"/>
      <c r="H110"/>
      <c r="I110"/>
      <c r="J110"/>
      <c r="K110"/>
      <c r="L110"/>
      <c r="M110"/>
    </row>
    <row r="111" spans="2:13" ht="15" customHeight="1" x14ac:dyDescent="0.25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 ht="15" customHeight="1" x14ac:dyDescent="0.25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 ht="15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 ht="15" customHeight="1" x14ac:dyDescent="0.25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 ht="15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 ht="15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 ht="15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 ht="15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 ht="15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 ht="15" customHeight="1" x14ac:dyDescent="0.25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 ht="15" customHeight="1" x14ac:dyDescent="0.25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 ht="15" customHeight="1" x14ac:dyDescent="0.25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 ht="15" customHeight="1" x14ac:dyDescent="0.25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 ht="15" customHeight="1" x14ac:dyDescent="0.25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 ht="15" customHeight="1" x14ac:dyDescent="0.25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 ht="15" customHeight="1" x14ac:dyDescent="0.25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 ht="15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 ht="15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</row>
    <row r="129" spans="2:13" ht="15" customHeight="1" x14ac:dyDescent="0.25">
      <c r="B129"/>
      <c r="C129"/>
      <c r="D129"/>
      <c r="E129"/>
      <c r="F129"/>
      <c r="G129"/>
      <c r="H129"/>
      <c r="I129"/>
      <c r="J129"/>
      <c r="K129"/>
      <c r="L129"/>
      <c r="M129"/>
    </row>
    <row r="130" spans="2:13" ht="15" customHeight="1" x14ac:dyDescent="0.25">
      <c r="B130"/>
      <c r="C130"/>
      <c r="D130"/>
      <c r="E130"/>
      <c r="F130"/>
      <c r="G130"/>
      <c r="H130"/>
      <c r="I130"/>
      <c r="J130"/>
      <c r="K130"/>
      <c r="L130"/>
      <c r="M130"/>
    </row>
    <row r="131" spans="2:13" ht="15" customHeight="1" x14ac:dyDescent="0.25">
      <c r="B131"/>
      <c r="C131"/>
      <c r="D131"/>
      <c r="E131"/>
      <c r="F131"/>
      <c r="G131"/>
      <c r="H131"/>
      <c r="I131"/>
      <c r="J131"/>
      <c r="K131"/>
      <c r="L131"/>
      <c r="M131"/>
    </row>
    <row r="132" spans="2:13" ht="15" customHeight="1" x14ac:dyDescent="0.25">
      <c r="B132"/>
      <c r="C132"/>
      <c r="D132"/>
      <c r="E132"/>
      <c r="F132"/>
      <c r="G132"/>
      <c r="H132"/>
      <c r="I132"/>
      <c r="J132"/>
      <c r="K132"/>
      <c r="L132"/>
      <c r="M132"/>
    </row>
    <row r="133" spans="2:13" ht="15" customHeight="1" x14ac:dyDescent="0.25">
      <c r="B133"/>
      <c r="C133"/>
      <c r="D133"/>
      <c r="E133"/>
      <c r="F133"/>
      <c r="G133"/>
      <c r="H133"/>
      <c r="I133"/>
      <c r="J133"/>
      <c r="K133"/>
      <c r="L133"/>
      <c r="M133"/>
    </row>
    <row r="134" spans="2:13" ht="15" customHeight="1" x14ac:dyDescent="0.25">
      <c r="B134"/>
      <c r="C134"/>
      <c r="D134"/>
      <c r="E134"/>
      <c r="F134"/>
      <c r="G134"/>
      <c r="H134"/>
      <c r="I134"/>
      <c r="J134"/>
      <c r="K134"/>
      <c r="L134"/>
      <c r="M134"/>
    </row>
    <row r="135" spans="2:13" ht="15" customHeight="1" x14ac:dyDescent="0.25">
      <c r="B135"/>
      <c r="C135"/>
      <c r="D135"/>
      <c r="E135"/>
      <c r="F135"/>
      <c r="G135"/>
      <c r="H135"/>
      <c r="I135"/>
      <c r="J135"/>
      <c r="K135"/>
      <c r="L135"/>
      <c r="M135"/>
    </row>
    <row r="136" spans="2:13" ht="15" customHeight="1" x14ac:dyDescent="0.25">
      <c r="B136"/>
      <c r="C136"/>
      <c r="D136"/>
      <c r="E136"/>
      <c r="F136"/>
      <c r="G136"/>
      <c r="H136"/>
      <c r="I136"/>
      <c r="J136"/>
      <c r="K136"/>
      <c r="L136"/>
      <c r="M136"/>
    </row>
    <row r="137" spans="2:13" ht="15" customHeight="1" x14ac:dyDescent="0.25">
      <c r="B137"/>
      <c r="C137"/>
      <c r="D137"/>
      <c r="E137"/>
      <c r="F137"/>
      <c r="G137"/>
      <c r="H137"/>
      <c r="I137"/>
      <c r="J137"/>
      <c r="K137"/>
      <c r="L137"/>
      <c r="M137"/>
    </row>
    <row r="138" spans="2:13" ht="15" customHeight="1" x14ac:dyDescent="0.25">
      <c r="B138"/>
      <c r="C138"/>
      <c r="D138"/>
      <c r="E138"/>
      <c r="F138"/>
      <c r="G138"/>
      <c r="H138"/>
      <c r="I138"/>
      <c r="J138"/>
      <c r="K138"/>
      <c r="L138"/>
      <c r="M138"/>
    </row>
    <row r="139" spans="2:13" ht="15" customHeight="1" x14ac:dyDescent="0.25">
      <c r="B139"/>
      <c r="C139"/>
      <c r="D139"/>
      <c r="E139"/>
      <c r="F139"/>
      <c r="G139"/>
      <c r="H139"/>
      <c r="I139"/>
      <c r="J139"/>
      <c r="K139"/>
      <c r="L139"/>
      <c r="M139"/>
    </row>
    <row r="140" spans="2:13" ht="15" customHeight="1" x14ac:dyDescent="0.25">
      <c r="B140"/>
      <c r="C140"/>
      <c r="D140"/>
      <c r="E140"/>
      <c r="F140"/>
      <c r="G140"/>
      <c r="H140"/>
      <c r="I140"/>
      <c r="J140"/>
      <c r="K140"/>
      <c r="L140"/>
      <c r="M140"/>
    </row>
    <row r="141" spans="2:13" ht="15" customHeight="1" x14ac:dyDescent="0.25">
      <c r="B141"/>
      <c r="C141"/>
      <c r="D141"/>
      <c r="E141"/>
      <c r="F141"/>
      <c r="G141"/>
      <c r="H141"/>
      <c r="I141"/>
      <c r="J141"/>
      <c r="K141"/>
      <c r="L141"/>
      <c r="M141"/>
    </row>
    <row r="142" spans="2:13" ht="15" customHeight="1" x14ac:dyDescent="0.25">
      <c r="B142"/>
      <c r="C142"/>
      <c r="D142"/>
      <c r="E142"/>
      <c r="F142"/>
      <c r="G142"/>
      <c r="H142"/>
      <c r="I142"/>
      <c r="J142"/>
      <c r="K142"/>
      <c r="L142"/>
      <c r="M142"/>
    </row>
    <row r="143" spans="2:13" ht="15" customHeight="1" x14ac:dyDescent="0.25">
      <c r="B143"/>
      <c r="C143"/>
      <c r="D143"/>
      <c r="E143"/>
      <c r="F143"/>
      <c r="G143"/>
      <c r="H143"/>
      <c r="I143"/>
      <c r="J143"/>
      <c r="K143"/>
      <c r="L143"/>
      <c r="M143"/>
    </row>
    <row r="144" spans="2:13" ht="15" customHeight="1" x14ac:dyDescent="0.25">
      <c r="B144"/>
      <c r="C144"/>
      <c r="D144"/>
      <c r="E144"/>
      <c r="F144"/>
      <c r="G144"/>
      <c r="H144"/>
      <c r="I144"/>
      <c r="J144"/>
      <c r="K144"/>
      <c r="L144"/>
      <c r="M144"/>
    </row>
    <row r="145" spans="2:13" ht="15" customHeight="1" x14ac:dyDescent="0.25">
      <c r="B145"/>
      <c r="C145"/>
      <c r="D145"/>
      <c r="E145"/>
      <c r="F145"/>
      <c r="G145"/>
      <c r="H145"/>
      <c r="I145"/>
      <c r="J145"/>
      <c r="K145"/>
      <c r="L145"/>
      <c r="M145"/>
    </row>
    <row r="146" spans="2:13" ht="15" customHeight="1" x14ac:dyDescent="0.25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 ht="15" customHeight="1" x14ac:dyDescent="0.25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 ht="15" customHeight="1" x14ac:dyDescent="0.25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 ht="15" customHeight="1" x14ac:dyDescent="0.25">
      <c r="B149"/>
      <c r="C149"/>
      <c r="D149"/>
      <c r="E149"/>
      <c r="F149"/>
      <c r="G149"/>
      <c r="H149"/>
      <c r="I149"/>
      <c r="J149"/>
      <c r="K149"/>
      <c r="L149"/>
      <c r="M149"/>
    </row>
    <row r="150" spans="2:13" ht="15" customHeight="1" x14ac:dyDescent="0.25">
      <c r="B150"/>
      <c r="C150"/>
      <c r="D150"/>
      <c r="E150"/>
      <c r="F150"/>
      <c r="G150"/>
      <c r="H150"/>
      <c r="I150"/>
      <c r="J150"/>
      <c r="K150"/>
      <c r="L150"/>
      <c r="M150"/>
    </row>
    <row r="151" spans="2:13" ht="15" customHeight="1" x14ac:dyDescent="0.25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 ht="15" customHeight="1" x14ac:dyDescent="0.25">
      <c r="B152"/>
      <c r="C152"/>
      <c r="D152"/>
      <c r="E152"/>
      <c r="F152"/>
      <c r="G152"/>
      <c r="H152"/>
      <c r="I152"/>
      <c r="J152"/>
      <c r="K152"/>
      <c r="L152"/>
      <c r="M152"/>
    </row>
    <row r="153" spans="2:13" ht="15" customHeight="1" x14ac:dyDescent="0.25">
      <c r="B153"/>
      <c r="C153"/>
      <c r="D153"/>
      <c r="E153"/>
      <c r="F153"/>
      <c r="G153"/>
      <c r="H153"/>
      <c r="I153"/>
      <c r="J153"/>
      <c r="K153"/>
      <c r="L153"/>
      <c r="M153"/>
    </row>
    <row r="154" spans="2:13" ht="15" customHeight="1" x14ac:dyDescent="0.25">
      <c r="B154"/>
      <c r="C154"/>
      <c r="D154"/>
      <c r="E154"/>
      <c r="F154"/>
      <c r="G154"/>
      <c r="H154"/>
      <c r="I154"/>
      <c r="J154"/>
      <c r="K154"/>
      <c r="L154"/>
      <c r="M154"/>
    </row>
    <row r="155" spans="2:13" ht="15" customHeight="1" x14ac:dyDescent="0.25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 ht="15" customHeight="1" x14ac:dyDescent="0.25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 ht="15" customHeight="1" x14ac:dyDescent="0.25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 ht="15" customHeight="1" x14ac:dyDescent="0.25">
      <c r="B158"/>
      <c r="C158"/>
      <c r="D158"/>
      <c r="E158"/>
      <c r="F158"/>
      <c r="G158"/>
      <c r="H158"/>
      <c r="I158"/>
      <c r="J158"/>
      <c r="K158"/>
      <c r="L158"/>
      <c r="M158"/>
    </row>
    <row r="159" spans="2:13" ht="15" customHeight="1" x14ac:dyDescent="0.25">
      <c r="B159"/>
      <c r="C159"/>
      <c r="D159"/>
      <c r="E159"/>
      <c r="F159"/>
      <c r="G159"/>
      <c r="H159"/>
      <c r="I159"/>
      <c r="J159"/>
      <c r="K159"/>
      <c r="L159"/>
      <c r="M159"/>
    </row>
    <row r="160" spans="2:13" ht="15" customHeight="1" x14ac:dyDescent="0.25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 ht="15" customHeight="1" x14ac:dyDescent="0.25">
      <c r="B161"/>
      <c r="C161"/>
      <c r="D161"/>
      <c r="E161"/>
      <c r="F161"/>
      <c r="G161"/>
      <c r="H161"/>
      <c r="I161"/>
      <c r="J161"/>
      <c r="K161"/>
      <c r="L161"/>
      <c r="M161"/>
    </row>
    <row r="162" spans="2:13" ht="15" customHeight="1" x14ac:dyDescent="0.25">
      <c r="B162"/>
      <c r="C162"/>
      <c r="D162"/>
      <c r="E162"/>
      <c r="F162"/>
      <c r="G162"/>
      <c r="H162"/>
      <c r="I162"/>
      <c r="J162"/>
      <c r="K162"/>
      <c r="L162"/>
      <c r="M162"/>
    </row>
    <row r="163" spans="2:13" ht="15" customHeight="1" x14ac:dyDescent="0.25">
      <c r="B163"/>
      <c r="C163"/>
      <c r="D163"/>
      <c r="E163"/>
      <c r="F163"/>
      <c r="G163"/>
      <c r="H163"/>
      <c r="I163"/>
      <c r="J163"/>
      <c r="K163"/>
      <c r="L163"/>
      <c r="M163"/>
    </row>
    <row r="164" spans="2:13" ht="15" customHeight="1" x14ac:dyDescent="0.25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 ht="15" customHeight="1" x14ac:dyDescent="0.25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 ht="15" customHeight="1" x14ac:dyDescent="0.25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 ht="15" customHeight="1" x14ac:dyDescent="0.25">
      <c r="B167"/>
      <c r="C167"/>
      <c r="D167"/>
      <c r="E167"/>
      <c r="F167"/>
      <c r="G167"/>
      <c r="H167"/>
      <c r="I167"/>
      <c r="J167"/>
      <c r="K167"/>
      <c r="L167"/>
      <c r="M167"/>
    </row>
    <row r="168" spans="2:13" ht="15" customHeight="1" x14ac:dyDescent="0.25">
      <c r="B168"/>
      <c r="C168"/>
      <c r="D168"/>
      <c r="E168"/>
      <c r="F168"/>
      <c r="G168"/>
      <c r="H168"/>
      <c r="I168"/>
      <c r="J168"/>
      <c r="K168"/>
      <c r="L168"/>
      <c r="M168"/>
    </row>
    <row r="169" spans="2:13" ht="15" customHeight="1" x14ac:dyDescent="0.25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 ht="15" customHeight="1" x14ac:dyDescent="0.25">
      <c r="B170"/>
      <c r="C170"/>
      <c r="D170"/>
      <c r="E170"/>
      <c r="F170"/>
      <c r="G170"/>
      <c r="H170"/>
      <c r="I170"/>
      <c r="J170"/>
      <c r="K170"/>
      <c r="L170"/>
      <c r="M170"/>
    </row>
    <row r="171" spans="2:13" ht="15" customHeight="1" x14ac:dyDescent="0.25">
      <c r="B171"/>
      <c r="C171"/>
      <c r="D171"/>
      <c r="E171"/>
      <c r="F171"/>
      <c r="G171"/>
      <c r="H171"/>
      <c r="I171"/>
      <c r="J171"/>
      <c r="K171"/>
      <c r="L171"/>
      <c r="M171"/>
    </row>
    <row r="172" spans="2:13" ht="15" customHeight="1" x14ac:dyDescent="0.25">
      <c r="B172"/>
      <c r="C172"/>
      <c r="D172"/>
      <c r="E172"/>
      <c r="F172"/>
      <c r="G172"/>
      <c r="H172"/>
      <c r="I172"/>
      <c r="J172"/>
      <c r="K172"/>
      <c r="L172"/>
      <c r="M172"/>
    </row>
    <row r="173" spans="2:13" ht="15" customHeight="1" x14ac:dyDescent="0.25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 ht="15" customHeight="1" x14ac:dyDescent="0.25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 ht="15" customHeight="1" x14ac:dyDescent="0.25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 ht="15" customHeight="1" x14ac:dyDescent="0.25">
      <c r="B176"/>
      <c r="C176"/>
      <c r="D176"/>
      <c r="E176"/>
      <c r="F176"/>
      <c r="G176"/>
      <c r="H176"/>
      <c r="I176"/>
      <c r="J176"/>
      <c r="K176"/>
      <c r="L176"/>
      <c r="M176"/>
    </row>
    <row r="177" spans="2:13" ht="15" customHeight="1" x14ac:dyDescent="0.25">
      <c r="B177"/>
      <c r="C177"/>
      <c r="D177"/>
      <c r="E177"/>
      <c r="F177"/>
      <c r="G177"/>
      <c r="H177"/>
      <c r="I177"/>
      <c r="J177"/>
      <c r="K177"/>
      <c r="L177"/>
      <c r="M177"/>
    </row>
    <row r="178" spans="2:13" ht="15" customHeight="1" x14ac:dyDescent="0.25">
      <c r="B178"/>
      <c r="C178"/>
      <c r="D178"/>
      <c r="E178"/>
      <c r="F178"/>
      <c r="G178"/>
      <c r="H178"/>
      <c r="I178"/>
      <c r="J178"/>
      <c r="K178"/>
      <c r="L178"/>
      <c r="M178"/>
    </row>
    <row r="179" spans="2:13" ht="15" customHeight="1" x14ac:dyDescent="0.25">
      <c r="B179"/>
      <c r="C179"/>
      <c r="D179"/>
      <c r="E179"/>
      <c r="F179"/>
      <c r="G179"/>
      <c r="H179"/>
      <c r="I179"/>
      <c r="J179"/>
      <c r="K179"/>
      <c r="L179"/>
      <c r="M179"/>
    </row>
    <row r="180" spans="2:13" ht="15" customHeight="1" x14ac:dyDescent="0.25">
      <c r="B180"/>
      <c r="C180"/>
      <c r="D180"/>
      <c r="E180"/>
      <c r="F180"/>
      <c r="G180"/>
      <c r="H180"/>
      <c r="I180"/>
      <c r="J180"/>
      <c r="K180"/>
      <c r="L180"/>
      <c r="M180"/>
    </row>
    <row r="181" spans="2:13" ht="15" customHeight="1" x14ac:dyDescent="0.25">
      <c r="B181"/>
      <c r="C181"/>
      <c r="D181"/>
      <c r="E181"/>
      <c r="F181"/>
      <c r="G181"/>
      <c r="H181"/>
      <c r="I181"/>
      <c r="J181"/>
      <c r="K181"/>
      <c r="L181"/>
      <c r="M181"/>
    </row>
    <row r="182" spans="2:13" ht="15" customHeight="1" x14ac:dyDescent="0.25">
      <c r="B182"/>
      <c r="C182"/>
      <c r="D182"/>
      <c r="E182"/>
      <c r="F182"/>
      <c r="G182"/>
      <c r="H182"/>
      <c r="I182"/>
      <c r="J182"/>
      <c r="K182"/>
      <c r="L182"/>
      <c r="M182"/>
    </row>
    <row r="183" spans="2:13" ht="15" customHeight="1" x14ac:dyDescent="0.25">
      <c r="B183"/>
      <c r="C183"/>
      <c r="D183"/>
      <c r="E183"/>
      <c r="F183"/>
      <c r="G183"/>
      <c r="H183"/>
      <c r="I183"/>
      <c r="J183"/>
      <c r="K183"/>
      <c r="L183"/>
      <c r="M183"/>
    </row>
    <row r="184" spans="2:13" ht="15" customHeight="1" x14ac:dyDescent="0.25">
      <c r="B184"/>
      <c r="C184"/>
      <c r="D184"/>
      <c r="E184"/>
      <c r="F184"/>
      <c r="G184"/>
      <c r="H184"/>
      <c r="I184"/>
      <c r="J184"/>
      <c r="K184"/>
      <c r="L184"/>
      <c r="M184"/>
    </row>
    <row r="185" spans="2:13" ht="15" customHeight="1" x14ac:dyDescent="0.25">
      <c r="B185"/>
      <c r="C185"/>
      <c r="D185"/>
      <c r="E185"/>
      <c r="F185"/>
      <c r="G185"/>
      <c r="H185"/>
      <c r="I185"/>
      <c r="J185"/>
      <c r="K185"/>
      <c r="L185"/>
      <c r="M185"/>
    </row>
    <row r="186" spans="2:13" ht="15" customHeight="1" x14ac:dyDescent="0.25">
      <c r="B186"/>
      <c r="C186"/>
      <c r="D186"/>
      <c r="E186"/>
      <c r="F186"/>
      <c r="G186"/>
      <c r="H186"/>
      <c r="I186"/>
      <c r="J186"/>
      <c r="K186"/>
      <c r="L186"/>
      <c r="M186"/>
    </row>
    <row r="187" spans="2:13" ht="15" customHeight="1" x14ac:dyDescent="0.25">
      <c r="B187"/>
      <c r="C187"/>
      <c r="D187"/>
      <c r="E187"/>
      <c r="F187"/>
      <c r="G187"/>
      <c r="H187"/>
      <c r="I187"/>
      <c r="J187"/>
      <c r="K187"/>
      <c r="L187"/>
      <c r="M187"/>
    </row>
    <row r="188" spans="2:13" ht="15" customHeight="1" x14ac:dyDescent="0.25">
      <c r="B188"/>
      <c r="C188"/>
      <c r="D188"/>
      <c r="E188"/>
      <c r="F188"/>
      <c r="G188"/>
      <c r="H188"/>
      <c r="I188"/>
      <c r="J188"/>
      <c r="K188"/>
      <c r="L188"/>
      <c r="M188"/>
    </row>
    <row r="189" spans="2:13" ht="15" customHeight="1" x14ac:dyDescent="0.25">
      <c r="B189"/>
      <c r="C189"/>
      <c r="D189"/>
      <c r="E189"/>
      <c r="F189"/>
      <c r="G189"/>
      <c r="H189"/>
      <c r="I189"/>
      <c r="J189"/>
      <c r="K189"/>
      <c r="L189"/>
      <c r="M189"/>
    </row>
    <row r="190" spans="2:13" ht="15" customHeight="1" x14ac:dyDescent="0.25">
      <c r="B190"/>
      <c r="C190"/>
      <c r="D190"/>
      <c r="E190"/>
      <c r="F190"/>
      <c r="G190"/>
      <c r="H190"/>
      <c r="I190"/>
      <c r="J190"/>
      <c r="K190"/>
      <c r="L190"/>
      <c r="M190"/>
    </row>
    <row r="191" spans="2:13" ht="15" customHeight="1" x14ac:dyDescent="0.25">
      <c r="B191"/>
      <c r="C191"/>
      <c r="D191"/>
      <c r="E191"/>
      <c r="F191"/>
      <c r="G191"/>
      <c r="H191"/>
      <c r="I191"/>
      <c r="J191"/>
      <c r="K191"/>
      <c r="L191"/>
      <c r="M191"/>
    </row>
    <row r="192" spans="2:13" ht="15" customHeight="1" x14ac:dyDescent="0.25">
      <c r="B192"/>
      <c r="C192"/>
      <c r="D192"/>
      <c r="E192"/>
      <c r="F192"/>
      <c r="G192"/>
      <c r="H192"/>
      <c r="I192"/>
      <c r="J192"/>
      <c r="K192"/>
      <c r="L192"/>
      <c r="M192"/>
    </row>
    <row r="193" spans="2:13" ht="15" customHeight="1" x14ac:dyDescent="0.25">
      <c r="B193"/>
      <c r="C193"/>
      <c r="D193"/>
      <c r="E193"/>
      <c r="F193"/>
      <c r="G193"/>
      <c r="H193"/>
      <c r="I193"/>
      <c r="J193"/>
      <c r="K193"/>
      <c r="L193"/>
      <c r="M193"/>
    </row>
    <row r="194" spans="2:13" ht="15" customHeight="1" x14ac:dyDescent="0.25">
      <c r="B194"/>
      <c r="C194"/>
      <c r="D194"/>
      <c r="E194"/>
      <c r="F194"/>
      <c r="G194"/>
      <c r="H194"/>
      <c r="I194"/>
      <c r="J194"/>
      <c r="K194"/>
      <c r="L194"/>
      <c r="M194"/>
    </row>
    <row r="195" spans="2:13" ht="15" customHeight="1" x14ac:dyDescent="0.25">
      <c r="B195"/>
      <c r="C195"/>
      <c r="D195"/>
      <c r="E195"/>
      <c r="F195"/>
      <c r="G195"/>
      <c r="H195"/>
      <c r="I195"/>
      <c r="J195"/>
      <c r="K195"/>
      <c r="L195"/>
      <c r="M195"/>
    </row>
    <row r="196" spans="2:13" ht="15" customHeight="1" x14ac:dyDescent="0.25">
      <c r="B196"/>
      <c r="C196"/>
      <c r="D196"/>
      <c r="E196"/>
      <c r="F196"/>
      <c r="G196"/>
      <c r="H196"/>
      <c r="I196"/>
      <c r="J196"/>
      <c r="K196"/>
      <c r="L196"/>
      <c r="M196"/>
    </row>
    <row r="197" spans="2:13" ht="15" customHeight="1" x14ac:dyDescent="0.25">
      <c r="B197"/>
      <c r="C197"/>
      <c r="D197"/>
      <c r="E197"/>
      <c r="F197"/>
      <c r="G197"/>
      <c r="H197"/>
      <c r="I197"/>
      <c r="J197"/>
      <c r="K197"/>
      <c r="L197"/>
      <c r="M197"/>
    </row>
    <row r="198" spans="2:13" ht="15" customHeight="1" x14ac:dyDescent="0.25">
      <c r="B198"/>
      <c r="C198"/>
      <c r="D198"/>
      <c r="E198"/>
      <c r="F198"/>
      <c r="G198"/>
      <c r="H198"/>
      <c r="I198"/>
      <c r="J198"/>
      <c r="K198"/>
      <c r="L198"/>
      <c r="M198"/>
    </row>
    <row r="199" spans="2:13" ht="15" customHeight="1" x14ac:dyDescent="0.25">
      <c r="B199"/>
      <c r="C199"/>
      <c r="D199"/>
      <c r="E199"/>
      <c r="F199"/>
      <c r="G199"/>
      <c r="H199"/>
      <c r="I199"/>
      <c r="J199"/>
      <c r="K199"/>
      <c r="L199"/>
      <c r="M199"/>
    </row>
    <row r="200" spans="2:13" ht="15" customHeight="1" x14ac:dyDescent="0.25">
      <c r="B200"/>
      <c r="C200"/>
      <c r="D200"/>
      <c r="E200"/>
      <c r="F200"/>
      <c r="G200"/>
      <c r="H200"/>
      <c r="I200"/>
      <c r="J200"/>
      <c r="K200"/>
      <c r="L200"/>
      <c r="M200"/>
    </row>
    <row r="201" spans="2:13" ht="15" customHeight="1" x14ac:dyDescent="0.25">
      <c r="B201"/>
      <c r="C201"/>
      <c r="D201"/>
      <c r="E201"/>
      <c r="F201"/>
      <c r="G201"/>
      <c r="H201"/>
      <c r="I201"/>
      <c r="J201"/>
      <c r="K201"/>
      <c r="L201"/>
      <c r="M201"/>
    </row>
    <row r="202" spans="2:13" ht="15" customHeight="1" x14ac:dyDescent="0.25">
      <c r="B202"/>
      <c r="C202"/>
      <c r="D202"/>
      <c r="E202"/>
      <c r="F202"/>
      <c r="G202"/>
      <c r="H202"/>
      <c r="I202"/>
      <c r="J202"/>
      <c r="K202"/>
      <c r="L202"/>
      <c r="M202"/>
    </row>
    <row r="203" spans="2:13" ht="15" customHeight="1" x14ac:dyDescent="0.25">
      <c r="B203"/>
      <c r="C203"/>
      <c r="D203"/>
      <c r="E203"/>
      <c r="F203"/>
      <c r="G203"/>
      <c r="H203"/>
      <c r="I203"/>
      <c r="J203"/>
      <c r="K203"/>
      <c r="L203"/>
      <c r="M203"/>
    </row>
    <row r="204" spans="2:13" ht="15" customHeight="1" x14ac:dyDescent="0.25">
      <c r="B204"/>
      <c r="C204"/>
      <c r="D204"/>
      <c r="E204"/>
      <c r="F204"/>
      <c r="G204"/>
      <c r="H204"/>
      <c r="I204"/>
      <c r="J204"/>
      <c r="K204"/>
      <c r="L204"/>
      <c r="M204"/>
    </row>
    <row r="205" spans="2:13" ht="15" customHeight="1" x14ac:dyDescent="0.25">
      <c r="B205"/>
      <c r="C205"/>
      <c r="D205"/>
      <c r="E205"/>
      <c r="F205"/>
      <c r="G205"/>
      <c r="H205"/>
      <c r="I205"/>
      <c r="J205"/>
      <c r="K205"/>
      <c r="L205"/>
      <c r="M205"/>
    </row>
    <row r="206" spans="2:13" ht="15" customHeight="1" x14ac:dyDescent="0.25">
      <c r="B206"/>
      <c r="C206"/>
      <c r="D206"/>
      <c r="E206"/>
      <c r="F206"/>
      <c r="G206"/>
      <c r="H206"/>
      <c r="I206"/>
      <c r="J206"/>
      <c r="K206"/>
      <c r="L206"/>
      <c r="M206"/>
    </row>
    <row r="207" spans="2:13" ht="15" customHeight="1" x14ac:dyDescent="0.25">
      <c r="B207"/>
      <c r="C207"/>
      <c r="D207"/>
      <c r="E207"/>
      <c r="F207"/>
      <c r="G207"/>
      <c r="H207"/>
      <c r="I207"/>
      <c r="J207"/>
      <c r="K207"/>
      <c r="L207"/>
      <c r="M207"/>
    </row>
    <row r="208" spans="2:13" ht="15" customHeight="1" x14ac:dyDescent="0.25">
      <c r="B208"/>
      <c r="C208"/>
      <c r="D208"/>
      <c r="E208"/>
      <c r="F208"/>
      <c r="G208"/>
      <c r="H208"/>
      <c r="I208"/>
      <c r="J208"/>
      <c r="K208"/>
      <c r="L208"/>
      <c r="M208"/>
    </row>
    <row r="209" spans="2:13" ht="15" customHeight="1" x14ac:dyDescent="0.25">
      <c r="B209"/>
      <c r="C209"/>
      <c r="D209"/>
      <c r="E209"/>
      <c r="F209"/>
      <c r="G209"/>
      <c r="H209"/>
      <c r="I209"/>
      <c r="J209"/>
      <c r="K209"/>
      <c r="L209"/>
      <c r="M209"/>
    </row>
    <row r="210" spans="2:13" ht="15" customHeight="1" x14ac:dyDescent="0.25">
      <c r="B210"/>
      <c r="C210"/>
      <c r="D210"/>
      <c r="E210"/>
      <c r="F210"/>
      <c r="G210"/>
      <c r="H210"/>
      <c r="I210"/>
      <c r="J210"/>
      <c r="K210"/>
      <c r="L210"/>
      <c r="M210"/>
    </row>
    <row r="211" spans="2:13" ht="15" customHeight="1" x14ac:dyDescent="0.25">
      <c r="B211"/>
      <c r="C211"/>
      <c r="D211"/>
      <c r="E211"/>
      <c r="F211"/>
      <c r="G211"/>
      <c r="H211"/>
      <c r="I211"/>
      <c r="J211"/>
      <c r="K211"/>
      <c r="L211"/>
      <c r="M211"/>
    </row>
    <row r="212" spans="2:13" ht="15" customHeight="1" x14ac:dyDescent="0.25">
      <c r="B212"/>
      <c r="C212"/>
      <c r="D212"/>
      <c r="E212"/>
      <c r="F212"/>
      <c r="G212"/>
      <c r="H212"/>
      <c r="I212"/>
      <c r="J212"/>
      <c r="K212"/>
      <c r="L212"/>
      <c r="M212"/>
    </row>
    <row r="213" spans="2:13" ht="15" customHeight="1" x14ac:dyDescent="0.25">
      <c r="B213"/>
      <c r="C213"/>
      <c r="D213"/>
      <c r="E213"/>
      <c r="F213"/>
      <c r="G213"/>
      <c r="H213"/>
      <c r="I213"/>
      <c r="J213"/>
      <c r="K213"/>
      <c r="L213"/>
      <c r="M213"/>
    </row>
    <row r="214" spans="2:13" ht="15" customHeight="1" x14ac:dyDescent="0.25">
      <c r="B214"/>
      <c r="C214"/>
      <c r="D214"/>
      <c r="E214"/>
      <c r="F214"/>
      <c r="G214"/>
      <c r="H214"/>
      <c r="I214"/>
      <c r="J214"/>
      <c r="K214"/>
      <c r="L214"/>
      <c r="M214"/>
    </row>
    <row r="215" spans="2:13" x14ac:dyDescent="0.25">
      <c r="B215"/>
      <c r="C215"/>
      <c r="D215"/>
      <c r="E215"/>
      <c r="F215"/>
      <c r="G215"/>
      <c r="H215"/>
      <c r="I215"/>
      <c r="J215"/>
      <c r="K215"/>
      <c r="L215"/>
      <c r="M215"/>
    </row>
    <row r="216" spans="2:13" x14ac:dyDescent="0.25">
      <c r="B216"/>
      <c r="C216"/>
      <c r="D216"/>
      <c r="E216"/>
      <c r="F216"/>
      <c r="G216"/>
      <c r="H216"/>
      <c r="I216"/>
      <c r="J216"/>
      <c r="K216"/>
      <c r="L216"/>
      <c r="M216"/>
    </row>
    <row r="217" spans="2:13" x14ac:dyDescent="0.25">
      <c r="B217"/>
      <c r="C217"/>
      <c r="D217"/>
      <c r="E217"/>
      <c r="F217"/>
      <c r="G217"/>
      <c r="H217"/>
      <c r="I217"/>
      <c r="J217"/>
      <c r="K217"/>
      <c r="L217"/>
      <c r="M217"/>
    </row>
    <row r="218" spans="2:13" x14ac:dyDescent="0.25">
      <c r="B218"/>
      <c r="C218"/>
      <c r="D218"/>
      <c r="E218"/>
      <c r="F218"/>
      <c r="G218"/>
      <c r="H218"/>
      <c r="I218"/>
      <c r="J218"/>
      <c r="K218"/>
      <c r="L218"/>
      <c r="M218"/>
    </row>
    <row r="219" spans="2:13" x14ac:dyDescent="0.25">
      <c r="B219"/>
      <c r="C219"/>
      <c r="D219"/>
      <c r="E219"/>
      <c r="F219"/>
      <c r="G219"/>
      <c r="H219"/>
      <c r="I219"/>
      <c r="J219"/>
      <c r="K219"/>
      <c r="L219"/>
      <c r="M219"/>
    </row>
    <row r="220" spans="2:13" x14ac:dyDescent="0.25">
      <c r="B220"/>
      <c r="C220"/>
      <c r="D220"/>
      <c r="E220"/>
      <c r="F220"/>
      <c r="G220"/>
      <c r="H220"/>
      <c r="I220"/>
      <c r="J220"/>
      <c r="K220"/>
      <c r="L220"/>
      <c r="M220"/>
    </row>
    <row r="221" spans="2:13" x14ac:dyDescent="0.25">
      <c r="B221"/>
      <c r="C221"/>
      <c r="D221"/>
      <c r="E221"/>
      <c r="F221"/>
      <c r="G221"/>
      <c r="H221"/>
      <c r="I221"/>
      <c r="J221"/>
      <c r="K221"/>
      <c r="L221"/>
      <c r="M221"/>
    </row>
    <row r="222" spans="2:13" x14ac:dyDescent="0.25">
      <c r="B222"/>
      <c r="C222"/>
      <c r="D222"/>
      <c r="E222"/>
      <c r="F222"/>
      <c r="G222"/>
      <c r="H222"/>
      <c r="I222"/>
      <c r="J222"/>
      <c r="K222"/>
      <c r="L222"/>
      <c r="M222"/>
    </row>
    <row r="223" spans="2:13" x14ac:dyDescent="0.25">
      <c r="B223"/>
      <c r="C223"/>
      <c r="D223"/>
      <c r="E223"/>
      <c r="F223"/>
      <c r="G223"/>
      <c r="H223"/>
      <c r="I223"/>
      <c r="J223"/>
      <c r="K223"/>
      <c r="L223"/>
      <c r="M223"/>
    </row>
    <row r="224" spans="2:13" x14ac:dyDescent="0.25">
      <c r="B224"/>
      <c r="C224"/>
      <c r="D224"/>
      <c r="E224"/>
      <c r="F224"/>
      <c r="G224"/>
      <c r="H224"/>
      <c r="I224"/>
      <c r="J224"/>
      <c r="K224"/>
      <c r="L224"/>
      <c r="M224"/>
    </row>
    <row r="225" spans="2:13" x14ac:dyDescent="0.25">
      <c r="B225"/>
      <c r="C225"/>
      <c r="D225"/>
      <c r="E225"/>
      <c r="F225"/>
      <c r="G225"/>
      <c r="H225"/>
      <c r="I225"/>
      <c r="J225"/>
      <c r="K225"/>
      <c r="L225"/>
      <c r="M225"/>
    </row>
    <row r="226" spans="2:13" x14ac:dyDescent="0.25">
      <c r="B226"/>
      <c r="C226"/>
      <c r="D226"/>
      <c r="E226"/>
      <c r="F226"/>
      <c r="G226"/>
      <c r="H226"/>
      <c r="I226"/>
      <c r="J226"/>
      <c r="K226"/>
      <c r="L226"/>
      <c r="M226"/>
    </row>
    <row r="227" spans="2:13" x14ac:dyDescent="0.25">
      <c r="B227"/>
      <c r="C227"/>
      <c r="D227"/>
      <c r="E227"/>
      <c r="F227"/>
      <c r="G227"/>
      <c r="H227"/>
      <c r="I227"/>
      <c r="J227"/>
      <c r="K227"/>
      <c r="L227"/>
      <c r="M227"/>
    </row>
    <row r="228" spans="2:13" x14ac:dyDescent="0.25">
      <c r="B228"/>
      <c r="C228"/>
      <c r="D228"/>
      <c r="E228"/>
      <c r="F228"/>
      <c r="G228"/>
      <c r="H228"/>
      <c r="I228"/>
      <c r="J228"/>
      <c r="K228"/>
      <c r="L228"/>
      <c r="M228"/>
    </row>
    <row r="229" spans="2:13" x14ac:dyDescent="0.25">
      <c r="B229"/>
      <c r="C229"/>
      <c r="D229"/>
      <c r="E229"/>
      <c r="F229"/>
      <c r="G229"/>
      <c r="H229"/>
      <c r="I229"/>
      <c r="J229"/>
      <c r="K229"/>
      <c r="L229"/>
      <c r="M229"/>
    </row>
    <row r="230" spans="2:13" x14ac:dyDescent="0.25">
      <c r="B230"/>
      <c r="C230"/>
      <c r="D230"/>
      <c r="E230"/>
      <c r="F230"/>
      <c r="G230"/>
      <c r="H230"/>
      <c r="I230"/>
      <c r="J230"/>
      <c r="K230"/>
      <c r="L230"/>
      <c r="M230"/>
    </row>
    <row r="231" spans="2:13" x14ac:dyDescent="0.25">
      <c r="B231"/>
      <c r="C231"/>
      <c r="D231"/>
      <c r="E231"/>
      <c r="F231"/>
      <c r="G231"/>
      <c r="H231"/>
      <c r="I231"/>
      <c r="J231"/>
      <c r="K231"/>
      <c r="L231"/>
      <c r="M231"/>
    </row>
    <row r="232" spans="2:13" x14ac:dyDescent="0.25">
      <c r="B232"/>
      <c r="C232"/>
      <c r="D232"/>
      <c r="E232"/>
      <c r="F232"/>
      <c r="G232"/>
      <c r="H232"/>
      <c r="I232"/>
      <c r="J232"/>
      <c r="K232"/>
      <c r="L232"/>
      <c r="M232"/>
    </row>
    <row r="233" spans="2:13" x14ac:dyDescent="0.25">
      <c r="B233"/>
      <c r="C233"/>
      <c r="D233"/>
      <c r="E233"/>
      <c r="F233"/>
      <c r="G233"/>
      <c r="H233"/>
      <c r="I233"/>
      <c r="J233"/>
      <c r="K233"/>
      <c r="L233"/>
      <c r="M233"/>
    </row>
    <row r="234" spans="2:13" x14ac:dyDescent="0.25">
      <c r="B234"/>
      <c r="C234"/>
      <c r="D234"/>
      <c r="E234"/>
      <c r="F234"/>
      <c r="G234"/>
      <c r="H234"/>
      <c r="I234"/>
      <c r="J234"/>
      <c r="K234"/>
      <c r="L234"/>
      <c r="M234"/>
    </row>
    <row r="235" spans="2:13" x14ac:dyDescent="0.25">
      <c r="B235"/>
      <c r="C235"/>
      <c r="D235"/>
      <c r="E235"/>
      <c r="F235"/>
      <c r="G235"/>
      <c r="H235"/>
      <c r="I235"/>
      <c r="J235"/>
      <c r="K235"/>
      <c r="L235"/>
      <c r="M235"/>
    </row>
    <row r="236" spans="2:13" x14ac:dyDescent="0.25">
      <c r="B236"/>
      <c r="C236"/>
      <c r="D236"/>
      <c r="E236"/>
      <c r="F236"/>
      <c r="G236"/>
      <c r="H236"/>
      <c r="I236"/>
      <c r="J236"/>
      <c r="K236"/>
      <c r="L236"/>
      <c r="M236"/>
    </row>
    <row r="237" spans="2:13" x14ac:dyDescent="0.25">
      <c r="B237"/>
      <c r="C237"/>
      <c r="D237"/>
      <c r="E237"/>
      <c r="F237"/>
      <c r="G237"/>
      <c r="H237"/>
      <c r="I237"/>
      <c r="J237"/>
      <c r="K237"/>
      <c r="L237"/>
      <c r="M237"/>
    </row>
    <row r="238" spans="2:13" x14ac:dyDescent="0.25">
      <c r="B238"/>
      <c r="C238"/>
      <c r="D238"/>
      <c r="E238"/>
      <c r="F238"/>
      <c r="G238"/>
      <c r="H238"/>
      <c r="I238"/>
      <c r="J238"/>
      <c r="K238"/>
      <c r="L238"/>
      <c r="M238"/>
    </row>
    <row r="239" spans="2:13" x14ac:dyDescent="0.25">
      <c r="B239"/>
      <c r="C239"/>
      <c r="D239"/>
      <c r="E239"/>
      <c r="F239"/>
      <c r="G239"/>
      <c r="H239"/>
      <c r="I239"/>
      <c r="J239"/>
      <c r="K239"/>
      <c r="L239"/>
      <c r="M239"/>
    </row>
    <row r="240" spans="2:13" x14ac:dyDescent="0.25">
      <c r="B240"/>
      <c r="C240"/>
      <c r="D240"/>
      <c r="E240"/>
      <c r="F240"/>
      <c r="G240"/>
      <c r="H240"/>
      <c r="I240"/>
      <c r="J240"/>
      <c r="K240"/>
      <c r="L240"/>
      <c r="M240"/>
    </row>
    <row r="241" spans="2:13" x14ac:dyDescent="0.25">
      <c r="B241"/>
      <c r="C241"/>
      <c r="D241"/>
      <c r="E241"/>
      <c r="F241"/>
      <c r="G241"/>
      <c r="H241"/>
      <c r="I241"/>
      <c r="J241"/>
      <c r="K241"/>
      <c r="L241"/>
      <c r="M241"/>
    </row>
    <row r="242" spans="2:13" x14ac:dyDescent="0.25">
      <c r="B242"/>
      <c r="C242"/>
      <c r="D242"/>
      <c r="E242"/>
      <c r="F242"/>
      <c r="G242"/>
      <c r="H242"/>
      <c r="I242"/>
      <c r="J242"/>
      <c r="K242"/>
      <c r="L242"/>
      <c r="M242"/>
    </row>
    <row r="243" spans="2:13" x14ac:dyDescent="0.25">
      <c r="B243"/>
      <c r="C243"/>
      <c r="D243"/>
      <c r="E243"/>
      <c r="F243"/>
      <c r="G243"/>
      <c r="H243"/>
      <c r="I243"/>
      <c r="J243"/>
      <c r="K243"/>
      <c r="L243"/>
      <c r="M243"/>
    </row>
    <row r="244" spans="2:13" x14ac:dyDescent="0.25">
      <c r="B244"/>
      <c r="C244"/>
      <c r="D244"/>
      <c r="E244"/>
      <c r="F244"/>
      <c r="G244"/>
      <c r="H244"/>
      <c r="I244"/>
      <c r="J244"/>
      <c r="K244"/>
      <c r="L244"/>
      <c r="M244"/>
    </row>
    <row r="245" spans="2:13" x14ac:dyDescent="0.25">
      <c r="B245"/>
      <c r="C245"/>
      <c r="D245"/>
      <c r="E245"/>
      <c r="F245"/>
      <c r="G245"/>
      <c r="H245"/>
      <c r="I245"/>
      <c r="J245"/>
      <c r="K245"/>
      <c r="L245"/>
      <c r="M245"/>
    </row>
    <row r="246" spans="2:13" x14ac:dyDescent="0.25">
      <c r="B246"/>
      <c r="C246"/>
      <c r="D246"/>
      <c r="E246"/>
      <c r="F246"/>
      <c r="G246"/>
      <c r="H246"/>
      <c r="I246"/>
      <c r="J246"/>
      <c r="K246"/>
      <c r="L246"/>
      <c r="M246"/>
    </row>
    <row r="247" spans="2:13" x14ac:dyDescent="0.25">
      <c r="B247"/>
      <c r="C247"/>
      <c r="D247"/>
      <c r="E247"/>
      <c r="F247"/>
      <c r="G247"/>
      <c r="H247"/>
      <c r="I247"/>
      <c r="J247"/>
      <c r="K247"/>
      <c r="L247"/>
      <c r="M247"/>
    </row>
    <row r="248" spans="2:13" x14ac:dyDescent="0.25">
      <c r="B248"/>
      <c r="C248"/>
      <c r="D248"/>
      <c r="E248"/>
      <c r="F248"/>
      <c r="G248"/>
      <c r="H248"/>
      <c r="I248"/>
      <c r="J248"/>
      <c r="K248"/>
      <c r="L248"/>
      <c r="M248"/>
    </row>
    <row r="249" spans="2:13" x14ac:dyDescent="0.25">
      <c r="B249"/>
      <c r="C249"/>
      <c r="D249"/>
      <c r="E249"/>
      <c r="F249"/>
      <c r="G249"/>
      <c r="H249"/>
      <c r="I249"/>
      <c r="J249"/>
      <c r="K249"/>
      <c r="L249"/>
      <c r="M249"/>
    </row>
    <row r="250" spans="2:13" x14ac:dyDescent="0.25">
      <c r="B250"/>
      <c r="C250"/>
      <c r="D250"/>
      <c r="E250"/>
      <c r="F250"/>
      <c r="G250"/>
      <c r="H250"/>
      <c r="I250"/>
      <c r="J250"/>
      <c r="K250"/>
      <c r="L250"/>
      <c r="M250"/>
    </row>
    <row r="251" spans="2:13" x14ac:dyDescent="0.25">
      <c r="B251"/>
      <c r="C251"/>
      <c r="D251"/>
      <c r="E251"/>
      <c r="F251"/>
      <c r="G251"/>
      <c r="H251"/>
      <c r="I251"/>
      <c r="J251"/>
      <c r="K251"/>
      <c r="L251"/>
      <c r="M251"/>
    </row>
    <row r="252" spans="2:13" x14ac:dyDescent="0.25">
      <c r="B252"/>
      <c r="C252"/>
      <c r="D252"/>
      <c r="E252"/>
      <c r="F252"/>
      <c r="G252"/>
      <c r="H252"/>
      <c r="I252"/>
      <c r="J252"/>
      <c r="K252"/>
      <c r="L252"/>
      <c r="M252"/>
    </row>
    <row r="253" spans="2:13" x14ac:dyDescent="0.25">
      <c r="B253"/>
      <c r="C253"/>
      <c r="D253"/>
      <c r="E253"/>
      <c r="F253"/>
      <c r="G253"/>
      <c r="H253"/>
      <c r="I253"/>
      <c r="J253"/>
      <c r="K253"/>
      <c r="L253"/>
      <c r="M253"/>
    </row>
    <row r="254" spans="2:13" x14ac:dyDescent="0.25">
      <c r="B254"/>
      <c r="C254"/>
      <c r="D254"/>
      <c r="E254"/>
      <c r="F254"/>
      <c r="G254"/>
      <c r="H254"/>
      <c r="I254"/>
      <c r="J254"/>
      <c r="K254"/>
      <c r="L254"/>
      <c r="M254"/>
    </row>
    <row r="255" spans="2:13" x14ac:dyDescent="0.25">
      <c r="B255"/>
      <c r="C255"/>
      <c r="D255"/>
      <c r="E255"/>
      <c r="F255"/>
      <c r="G255"/>
      <c r="H255"/>
      <c r="I255"/>
      <c r="J255"/>
      <c r="K255"/>
      <c r="L255"/>
      <c r="M255"/>
    </row>
    <row r="256" spans="2:13" x14ac:dyDescent="0.25">
      <c r="B256"/>
      <c r="C256"/>
      <c r="D256"/>
      <c r="E256"/>
      <c r="F256"/>
      <c r="G256"/>
      <c r="H256"/>
      <c r="I256"/>
      <c r="J256"/>
      <c r="K256"/>
      <c r="L256"/>
      <c r="M256"/>
    </row>
    <row r="257" spans="2:13" x14ac:dyDescent="0.25">
      <c r="B257"/>
      <c r="C257"/>
      <c r="D257"/>
      <c r="E257"/>
      <c r="F257"/>
      <c r="G257"/>
      <c r="H257"/>
      <c r="I257"/>
      <c r="J257"/>
      <c r="K257"/>
      <c r="L257"/>
      <c r="M257"/>
    </row>
    <row r="258" spans="2:13" x14ac:dyDescent="0.25">
      <c r="B258"/>
      <c r="C258"/>
      <c r="D258"/>
      <c r="E258"/>
      <c r="F258"/>
      <c r="G258"/>
      <c r="H258"/>
      <c r="I258"/>
      <c r="J258"/>
      <c r="K258"/>
      <c r="L258"/>
      <c r="M258"/>
    </row>
    <row r="259" spans="2:13" x14ac:dyDescent="0.25">
      <c r="B259"/>
      <c r="C259"/>
      <c r="D259"/>
      <c r="E259"/>
      <c r="F259"/>
      <c r="G259"/>
      <c r="H259"/>
      <c r="I259"/>
      <c r="J259"/>
      <c r="K259"/>
      <c r="L259"/>
      <c r="M259"/>
    </row>
    <row r="260" spans="2:13" x14ac:dyDescent="0.25">
      <c r="B260"/>
      <c r="C260"/>
      <c r="D260"/>
      <c r="E260"/>
      <c r="F260"/>
      <c r="G260"/>
      <c r="H260"/>
      <c r="I260"/>
      <c r="J260"/>
      <c r="K260"/>
      <c r="L260"/>
      <c r="M260"/>
    </row>
    <row r="261" spans="2:13" x14ac:dyDescent="0.25">
      <c r="B261"/>
      <c r="C261"/>
      <c r="D261"/>
      <c r="E261"/>
      <c r="F261"/>
      <c r="G261"/>
      <c r="H261"/>
      <c r="I261"/>
      <c r="J261"/>
      <c r="K261"/>
      <c r="L261"/>
      <c r="M261"/>
    </row>
    <row r="262" spans="2:13" x14ac:dyDescent="0.25">
      <c r="B262"/>
      <c r="C262"/>
      <c r="D262"/>
      <c r="E262"/>
      <c r="F262"/>
      <c r="G262"/>
      <c r="H262"/>
      <c r="I262"/>
      <c r="J262"/>
      <c r="K262"/>
      <c r="L262"/>
      <c r="M262"/>
    </row>
    <row r="263" spans="2:13" x14ac:dyDescent="0.25">
      <c r="B263"/>
      <c r="C263"/>
      <c r="D263"/>
      <c r="E263"/>
      <c r="F263"/>
      <c r="G263"/>
      <c r="H263"/>
      <c r="I263"/>
      <c r="J263"/>
      <c r="K263"/>
      <c r="L263"/>
      <c r="M263"/>
    </row>
    <row r="264" spans="2:13" x14ac:dyDescent="0.25">
      <c r="B264"/>
      <c r="C264"/>
      <c r="D264"/>
      <c r="E264"/>
      <c r="F264"/>
      <c r="G264"/>
      <c r="H264"/>
      <c r="I264"/>
      <c r="J264"/>
      <c r="K264"/>
      <c r="L264"/>
      <c r="M264"/>
    </row>
    <row r="265" spans="2:13" x14ac:dyDescent="0.25">
      <c r="B265"/>
      <c r="C265"/>
      <c r="D265"/>
      <c r="E265"/>
      <c r="F265"/>
      <c r="G265"/>
      <c r="H265"/>
      <c r="I265"/>
      <c r="J265"/>
      <c r="K265"/>
      <c r="L265"/>
      <c r="M265"/>
    </row>
    <row r="266" spans="2:13" x14ac:dyDescent="0.25">
      <c r="B266"/>
      <c r="C266"/>
      <c r="D266"/>
      <c r="E266"/>
      <c r="F266"/>
      <c r="G266"/>
      <c r="H266"/>
      <c r="I266"/>
      <c r="J266"/>
      <c r="K266"/>
      <c r="L266"/>
      <c r="M266"/>
    </row>
    <row r="267" spans="2:13" x14ac:dyDescent="0.25">
      <c r="B267"/>
      <c r="C267"/>
      <c r="D267"/>
      <c r="E267"/>
      <c r="F267"/>
      <c r="G267"/>
      <c r="H267"/>
      <c r="I267"/>
      <c r="J267"/>
      <c r="K267"/>
      <c r="L267"/>
      <c r="M267"/>
    </row>
    <row r="268" spans="2:13" x14ac:dyDescent="0.25">
      <c r="B268"/>
      <c r="C268"/>
      <c r="D268"/>
      <c r="E268"/>
      <c r="F268"/>
      <c r="G268"/>
      <c r="H268"/>
      <c r="I268"/>
      <c r="J268"/>
      <c r="K268"/>
      <c r="L268"/>
      <c r="M268"/>
    </row>
    <row r="269" spans="2:13" x14ac:dyDescent="0.25">
      <c r="B269"/>
      <c r="C269"/>
      <c r="D269"/>
      <c r="E269"/>
      <c r="F269"/>
      <c r="G269"/>
      <c r="H269"/>
      <c r="I269"/>
      <c r="J269"/>
      <c r="K269"/>
      <c r="L269"/>
      <c r="M269"/>
    </row>
    <row r="270" spans="2:13" x14ac:dyDescent="0.25">
      <c r="B270"/>
      <c r="C270"/>
      <c r="D270"/>
      <c r="E270"/>
      <c r="F270"/>
      <c r="G270"/>
      <c r="H270"/>
      <c r="I270"/>
      <c r="J270"/>
      <c r="K270"/>
      <c r="L270"/>
      <c r="M270"/>
    </row>
    <row r="271" spans="2:13" x14ac:dyDescent="0.25">
      <c r="B271"/>
      <c r="C271"/>
      <c r="D271"/>
      <c r="E271"/>
      <c r="F271"/>
      <c r="G271"/>
      <c r="H271"/>
      <c r="I271"/>
      <c r="J271"/>
      <c r="K271"/>
      <c r="L271"/>
      <c r="M271"/>
    </row>
    <row r="272" spans="2:13" x14ac:dyDescent="0.25">
      <c r="B272"/>
      <c r="C272"/>
      <c r="D272"/>
      <c r="E272"/>
      <c r="F272"/>
      <c r="G272"/>
      <c r="H272"/>
      <c r="I272"/>
      <c r="J272"/>
      <c r="K272"/>
      <c r="L272"/>
      <c r="M272"/>
    </row>
    <row r="273" spans="2:13" x14ac:dyDescent="0.25">
      <c r="B273"/>
      <c r="C273"/>
      <c r="D273"/>
      <c r="E273"/>
      <c r="F273"/>
      <c r="G273"/>
      <c r="H273"/>
      <c r="I273"/>
      <c r="J273"/>
      <c r="K273"/>
      <c r="L273"/>
      <c r="M273"/>
    </row>
    <row r="274" spans="2:13" x14ac:dyDescent="0.25">
      <c r="B274"/>
      <c r="C274"/>
      <c r="D274"/>
      <c r="E274"/>
      <c r="F274"/>
      <c r="G274"/>
      <c r="H274"/>
      <c r="I274"/>
      <c r="J274"/>
      <c r="K274"/>
      <c r="L274"/>
      <c r="M274"/>
    </row>
    <row r="275" spans="2:13" x14ac:dyDescent="0.25">
      <c r="B275"/>
      <c r="C275"/>
      <c r="D275"/>
      <c r="E275"/>
      <c r="F275"/>
      <c r="G275"/>
      <c r="H275"/>
      <c r="I275"/>
      <c r="J275"/>
      <c r="K275"/>
      <c r="L275"/>
      <c r="M275"/>
    </row>
    <row r="276" spans="2:13" x14ac:dyDescent="0.25">
      <c r="B276"/>
      <c r="C276"/>
      <c r="D276"/>
      <c r="E276"/>
      <c r="F276"/>
      <c r="G276"/>
      <c r="H276"/>
      <c r="I276"/>
      <c r="J276"/>
      <c r="K276"/>
      <c r="L276"/>
      <c r="M276"/>
    </row>
    <row r="277" spans="2:13" x14ac:dyDescent="0.25">
      <c r="B277"/>
      <c r="C277"/>
      <c r="D277"/>
      <c r="E277"/>
      <c r="F277"/>
      <c r="G277"/>
      <c r="H277"/>
      <c r="I277"/>
      <c r="J277"/>
      <c r="K277"/>
      <c r="L277"/>
      <c r="M277"/>
    </row>
    <row r="278" spans="2:13" x14ac:dyDescent="0.25">
      <c r="B278"/>
      <c r="C278"/>
      <c r="D278"/>
      <c r="E278"/>
      <c r="F278"/>
      <c r="G278"/>
      <c r="H278"/>
      <c r="I278"/>
      <c r="J278"/>
      <c r="K278"/>
      <c r="L278"/>
      <c r="M278"/>
    </row>
    <row r="279" spans="2:13" x14ac:dyDescent="0.25">
      <c r="B279"/>
      <c r="C279"/>
      <c r="D279"/>
      <c r="E279"/>
      <c r="F279"/>
      <c r="G279"/>
      <c r="H279"/>
      <c r="I279"/>
      <c r="J279"/>
      <c r="K279"/>
      <c r="L279"/>
      <c r="M279"/>
    </row>
    <row r="280" spans="2:13" x14ac:dyDescent="0.25">
      <c r="B280"/>
      <c r="C280"/>
      <c r="D280"/>
      <c r="E280"/>
      <c r="F280"/>
      <c r="G280"/>
      <c r="H280"/>
      <c r="I280"/>
      <c r="J280"/>
      <c r="K280"/>
      <c r="L280"/>
      <c r="M280"/>
    </row>
    <row r="281" spans="2:13" x14ac:dyDescent="0.25">
      <c r="B281"/>
      <c r="C281"/>
      <c r="D281"/>
      <c r="E281"/>
      <c r="F281"/>
      <c r="G281"/>
      <c r="H281"/>
      <c r="I281"/>
      <c r="J281"/>
      <c r="K281"/>
      <c r="L281"/>
      <c r="M281"/>
    </row>
    <row r="282" spans="2:13" x14ac:dyDescent="0.25">
      <c r="B282"/>
      <c r="C282"/>
      <c r="D282"/>
      <c r="E282"/>
      <c r="F282"/>
      <c r="G282"/>
      <c r="H282"/>
      <c r="I282"/>
      <c r="J282"/>
      <c r="K282"/>
      <c r="L282"/>
      <c r="M282"/>
    </row>
    <row r="283" spans="2:13" x14ac:dyDescent="0.25">
      <c r="B283"/>
      <c r="C283"/>
      <c r="D283"/>
      <c r="E283"/>
      <c r="F283"/>
      <c r="G283"/>
      <c r="H283"/>
      <c r="I283"/>
      <c r="J283"/>
      <c r="K283"/>
      <c r="L283"/>
      <c r="M283"/>
    </row>
    <row r="284" spans="2:13" x14ac:dyDescent="0.25">
      <c r="B284"/>
      <c r="C284"/>
      <c r="D284"/>
      <c r="E284"/>
      <c r="F284"/>
      <c r="G284"/>
      <c r="H284"/>
      <c r="I284"/>
      <c r="J284"/>
      <c r="K284"/>
      <c r="L284"/>
      <c r="M284"/>
    </row>
    <row r="285" spans="2:13" x14ac:dyDescent="0.25">
      <c r="B285"/>
      <c r="C285"/>
      <c r="D285"/>
      <c r="E285"/>
      <c r="F285"/>
      <c r="G285"/>
      <c r="H285"/>
      <c r="I285"/>
      <c r="J285"/>
      <c r="K285"/>
      <c r="L285"/>
      <c r="M285"/>
    </row>
    <row r="286" spans="2:13" x14ac:dyDescent="0.25">
      <c r="B286"/>
      <c r="C286"/>
      <c r="D286"/>
      <c r="E286"/>
      <c r="F286"/>
      <c r="G286"/>
      <c r="H286"/>
      <c r="I286"/>
      <c r="J286"/>
      <c r="K286"/>
      <c r="L286"/>
      <c r="M286"/>
    </row>
    <row r="287" spans="2:13" x14ac:dyDescent="0.25">
      <c r="B287"/>
      <c r="C287"/>
      <c r="D287"/>
      <c r="E287"/>
      <c r="F287"/>
      <c r="G287"/>
      <c r="H287"/>
      <c r="I287"/>
      <c r="J287"/>
      <c r="K287"/>
      <c r="L287"/>
      <c r="M287"/>
    </row>
    <row r="288" spans="2:13" x14ac:dyDescent="0.25">
      <c r="B288"/>
      <c r="C288"/>
      <c r="D288"/>
      <c r="E288"/>
      <c r="F288"/>
      <c r="G288"/>
      <c r="H288"/>
      <c r="I288"/>
      <c r="J288"/>
      <c r="K288"/>
      <c r="L288"/>
      <c r="M288"/>
    </row>
    <row r="289" spans="2:13" x14ac:dyDescent="0.25">
      <c r="B289"/>
      <c r="C289"/>
      <c r="D289"/>
      <c r="E289"/>
      <c r="F289"/>
      <c r="G289"/>
      <c r="H289"/>
      <c r="I289"/>
      <c r="J289"/>
      <c r="K289"/>
      <c r="L289"/>
      <c r="M289"/>
    </row>
    <row r="290" spans="2:13" x14ac:dyDescent="0.25">
      <c r="B290"/>
      <c r="C290"/>
      <c r="D290"/>
      <c r="E290"/>
      <c r="F290"/>
      <c r="G290"/>
      <c r="H290"/>
      <c r="I290"/>
      <c r="J290"/>
      <c r="K290"/>
      <c r="L290"/>
      <c r="M290"/>
    </row>
    <row r="291" spans="2:13" x14ac:dyDescent="0.25">
      <c r="B291"/>
      <c r="C291"/>
      <c r="D291"/>
      <c r="E291"/>
      <c r="F291"/>
      <c r="G291"/>
      <c r="H291"/>
      <c r="I291"/>
      <c r="J291"/>
      <c r="K291"/>
      <c r="L291"/>
      <c r="M291"/>
    </row>
    <row r="292" spans="2:13" x14ac:dyDescent="0.25">
      <c r="B292"/>
      <c r="C292"/>
      <c r="D292"/>
      <c r="E292"/>
      <c r="F292"/>
      <c r="G292"/>
      <c r="H292"/>
      <c r="I292"/>
      <c r="J292"/>
      <c r="K292"/>
      <c r="L292"/>
      <c r="M292"/>
    </row>
    <row r="293" spans="2:13" x14ac:dyDescent="0.25">
      <c r="B293"/>
      <c r="C293"/>
      <c r="D293"/>
      <c r="E293"/>
      <c r="F293"/>
      <c r="G293"/>
      <c r="H293"/>
      <c r="I293"/>
      <c r="J293"/>
      <c r="K293"/>
      <c r="L293"/>
      <c r="M293"/>
    </row>
    <row r="294" spans="2:13" x14ac:dyDescent="0.25">
      <c r="B294"/>
      <c r="C294"/>
      <c r="D294"/>
      <c r="E294"/>
      <c r="F294"/>
      <c r="G294"/>
      <c r="H294"/>
      <c r="I294"/>
      <c r="J294"/>
      <c r="K294"/>
      <c r="L294"/>
      <c r="M294"/>
    </row>
    <row r="295" spans="2:13" x14ac:dyDescent="0.25">
      <c r="B295"/>
      <c r="C295"/>
      <c r="D295"/>
      <c r="E295"/>
      <c r="F295"/>
      <c r="G295"/>
      <c r="H295"/>
      <c r="I295"/>
      <c r="J295"/>
      <c r="K295"/>
      <c r="L295"/>
      <c r="M295"/>
    </row>
    <row r="296" spans="2:13" x14ac:dyDescent="0.25">
      <c r="B296"/>
      <c r="C296"/>
      <c r="D296"/>
      <c r="E296"/>
      <c r="F296"/>
      <c r="G296"/>
      <c r="H296"/>
      <c r="I296"/>
      <c r="J296"/>
      <c r="K296"/>
      <c r="L296"/>
      <c r="M296"/>
    </row>
  </sheetData>
  <mergeCells count="5">
    <mergeCell ref="B1:D1"/>
    <mergeCell ref="E1:G1"/>
    <mergeCell ref="H1:J1"/>
    <mergeCell ref="A1:A2"/>
    <mergeCell ref="K1:M1"/>
  </mergeCells>
  <pageMargins left="0.7" right="0.7" top="0.75" bottom="0.75" header="0.3" footer="0.3"/>
  <pageSetup paperSize="1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3AAA-1AED-4DD4-B9C3-F3E6A14FCF7B}">
  <dimension ref="A1:AD94"/>
  <sheetViews>
    <sheetView tabSelected="1" topLeftCell="J1" zoomScale="77" zoomScaleNormal="77" workbookViewId="0">
      <selection activeCell="AH33" sqref="AH33"/>
    </sheetView>
  </sheetViews>
  <sheetFormatPr defaultRowHeight="15" x14ac:dyDescent="0.25"/>
  <cols>
    <col min="1" max="1" width="16.7109375" style="20" customWidth="1"/>
    <col min="2" max="2" width="6.140625" style="10" bestFit="1" customWidth="1"/>
    <col min="3" max="3" width="5.7109375" style="12" bestFit="1" customWidth="1"/>
    <col min="4" max="4" width="6.42578125" style="14" bestFit="1" customWidth="1"/>
    <col min="5" max="5" width="6.140625" style="10" bestFit="1" customWidth="1"/>
    <col min="6" max="6" width="5.7109375" style="12" bestFit="1" customWidth="1"/>
    <col min="7" max="7" width="6.42578125" style="14" bestFit="1" customWidth="1"/>
    <col min="8" max="8" width="6.140625" style="10" bestFit="1" customWidth="1"/>
    <col min="9" max="9" width="5.7109375" style="12" bestFit="1" customWidth="1"/>
    <col min="10" max="10" width="6.42578125" style="14" bestFit="1" customWidth="1"/>
    <col min="11" max="11" width="6.140625" style="10" bestFit="1" customWidth="1"/>
    <col min="12" max="12" width="5.7109375" style="12" bestFit="1" customWidth="1"/>
    <col min="13" max="13" width="6.42578125" style="14" bestFit="1" customWidth="1"/>
    <col min="14" max="14" width="6.140625" style="14" bestFit="1" customWidth="1"/>
    <col min="15" max="15" width="5.7109375" style="14" bestFit="1" customWidth="1"/>
    <col min="16" max="16" width="6.42578125" style="14" bestFit="1" customWidth="1"/>
    <col min="17" max="18" width="12.28515625" bestFit="1" customWidth="1"/>
    <col min="19" max="20" width="16.140625" bestFit="1" customWidth="1"/>
    <col min="21" max="21" width="13.5703125" bestFit="1" customWidth="1"/>
    <col min="22" max="22" width="17.28515625" bestFit="1" customWidth="1"/>
    <col min="24" max="25" width="27.5703125" customWidth="1"/>
  </cols>
  <sheetData>
    <row r="1" spans="1:30" ht="15" customHeight="1" x14ac:dyDescent="0.3">
      <c r="A1" s="74" t="s">
        <v>1</v>
      </c>
      <c r="B1" s="75" t="s">
        <v>5</v>
      </c>
      <c r="C1" s="75"/>
      <c r="D1" s="75"/>
      <c r="E1" s="76" t="s">
        <v>6</v>
      </c>
      <c r="F1" s="76"/>
      <c r="G1" s="76"/>
      <c r="H1" s="77" t="s">
        <v>7</v>
      </c>
      <c r="I1" s="77"/>
      <c r="J1" s="77"/>
      <c r="K1" s="78" t="s">
        <v>8</v>
      </c>
      <c r="L1" s="78"/>
      <c r="M1" s="78"/>
      <c r="N1" s="79" t="s">
        <v>0</v>
      </c>
      <c r="O1" s="79"/>
      <c r="P1" s="79"/>
      <c r="Q1" s="73" t="s">
        <v>14</v>
      </c>
      <c r="R1" s="72" t="s">
        <v>13</v>
      </c>
      <c r="S1" s="73" t="s">
        <v>11</v>
      </c>
      <c r="T1" s="72" t="s">
        <v>12</v>
      </c>
      <c r="U1" s="73" t="s">
        <v>15</v>
      </c>
      <c r="V1" s="72" t="s">
        <v>9</v>
      </c>
      <c r="W1" s="32" t="s">
        <v>21</v>
      </c>
      <c r="X1" s="83" t="s">
        <v>16</v>
      </c>
      <c r="Y1" s="84"/>
      <c r="Z1" s="81" t="s">
        <v>31</v>
      </c>
      <c r="AA1" s="71" t="s">
        <v>27</v>
      </c>
      <c r="AB1" s="71" t="s">
        <v>28</v>
      </c>
      <c r="AC1" s="71" t="s">
        <v>29</v>
      </c>
      <c r="AD1" s="71" t="s">
        <v>30</v>
      </c>
    </row>
    <row r="2" spans="1:30" ht="15" customHeight="1" x14ac:dyDescent="0.3">
      <c r="A2" s="74"/>
      <c r="B2" s="8" t="s">
        <v>2</v>
      </c>
      <c r="C2" s="4" t="s">
        <v>3</v>
      </c>
      <c r="D2" s="5" t="s">
        <v>10</v>
      </c>
      <c r="E2" s="8" t="s">
        <v>2</v>
      </c>
      <c r="F2" s="4" t="s">
        <v>3</v>
      </c>
      <c r="G2" s="5" t="s">
        <v>10</v>
      </c>
      <c r="H2" s="8" t="s">
        <v>2</v>
      </c>
      <c r="I2" s="4" t="s">
        <v>3</v>
      </c>
      <c r="J2" s="5" t="s">
        <v>10</v>
      </c>
      <c r="K2" s="8" t="s">
        <v>2</v>
      </c>
      <c r="L2" s="4" t="s">
        <v>3</v>
      </c>
      <c r="M2" s="5" t="s">
        <v>10</v>
      </c>
      <c r="N2" s="8" t="s">
        <v>2</v>
      </c>
      <c r="O2" s="4" t="s">
        <v>3</v>
      </c>
      <c r="P2" s="5" t="s">
        <v>10</v>
      </c>
      <c r="Q2" s="73"/>
      <c r="R2" s="72"/>
      <c r="S2" s="73"/>
      <c r="T2" s="72"/>
      <c r="U2" s="73"/>
      <c r="V2" s="72"/>
      <c r="W2" s="33"/>
      <c r="X2" s="85" t="s">
        <v>32</v>
      </c>
      <c r="Y2" s="28"/>
    </row>
    <row r="3" spans="1:30" s="1" customFormat="1" ht="15" customHeight="1" x14ac:dyDescent="0.3">
      <c r="A3" s="19">
        <v>45929</v>
      </c>
      <c r="B3" s="9">
        <v>1</v>
      </c>
      <c r="C3" s="11"/>
      <c r="D3" s="13"/>
      <c r="E3" s="9"/>
      <c r="F3" s="11"/>
      <c r="G3" s="13"/>
      <c r="H3" s="9"/>
      <c r="I3" s="11"/>
      <c r="J3" s="13"/>
      <c r="K3" s="9"/>
      <c r="L3" s="11"/>
      <c r="M3" s="13"/>
      <c r="N3" s="9"/>
      <c r="O3" s="11"/>
      <c r="P3" s="13"/>
      <c r="Q3" s="23">
        <f>SUM(B3:G3,N3:P3)</f>
        <v>1</v>
      </c>
      <c r="R3" s="24">
        <f>SUM(H3:M3)</f>
        <v>0</v>
      </c>
      <c r="S3" s="25">
        <f>Q3*765</f>
        <v>765</v>
      </c>
      <c r="T3" s="26">
        <f>R3*1500</f>
        <v>0</v>
      </c>
      <c r="U3" s="23">
        <f>SUM(Q3:R3)</f>
        <v>1</v>
      </c>
      <c r="V3" s="27">
        <f>SUM(S3:T3)</f>
        <v>765</v>
      </c>
      <c r="W3" s="32" t="s">
        <v>21</v>
      </c>
      <c r="X3" s="30" t="s">
        <v>33</v>
      </c>
      <c r="Y3" s="86">
        <f>SLOPE(Q3:Q31,ROW(Q3:Q31))</f>
        <v>6.1083743842364535E-2</v>
      </c>
      <c r="AA3" s="1">
        <f>U3</f>
        <v>1</v>
      </c>
      <c r="AC3" s="1">
        <f>V3</f>
        <v>765</v>
      </c>
    </row>
    <row r="4" spans="1:30" s="1" customFormat="1" ht="15" customHeight="1" x14ac:dyDescent="0.3">
      <c r="A4" s="19">
        <v>45936</v>
      </c>
      <c r="B4" s="9"/>
      <c r="C4" s="11"/>
      <c r="D4" s="13"/>
      <c r="E4" s="9"/>
      <c r="F4" s="11"/>
      <c r="G4" s="13"/>
      <c r="H4" s="9"/>
      <c r="I4" s="11"/>
      <c r="J4" s="13"/>
      <c r="K4" s="9"/>
      <c r="L4" s="11"/>
      <c r="M4" s="13"/>
      <c r="N4" s="9"/>
      <c r="O4" s="11"/>
      <c r="P4" s="13"/>
      <c r="Q4" s="23">
        <f t="shared" ref="Q4:Q31" si="0">SUM(B4:G4,N4:P4)</f>
        <v>0</v>
      </c>
      <c r="R4" s="24">
        <f t="shared" ref="R4:R31" si="1">SUM(H4:M4)</f>
        <v>0</v>
      </c>
      <c r="S4" s="25">
        <f t="shared" ref="S4:S26" si="2">Q4*765</f>
        <v>0</v>
      </c>
      <c r="T4" s="26">
        <f t="shared" ref="T4:T31" si="3">R4*1500</f>
        <v>0</v>
      </c>
      <c r="U4" s="23">
        <f t="shared" ref="U4:U31" si="4">SUM(Q4:R4)</f>
        <v>0</v>
      </c>
      <c r="V4" s="27">
        <f t="shared" ref="V4:V31" si="5">SUM(S4:T4)</f>
        <v>0</v>
      </c>
      <c r="W4" s="33"/>
      <c r="X4" s="30" t="s">
        <v>34</v>
      </c>
      <c r="Y4" s="86">
        <f>INTERCEPT(Q3:Q31,ROW(Q3:Q31))</f>
        <v>1.6857142857142855</v>
      </c>
      <c r="AA4" s="1">
        <f t="shared" ref="AA4:AA31" si="6">U4</f>
        <v>0</v>
      </c>
      <c r="AC4" s="1">
        <f t="shared" ref="AC4:AC31" si="7">V4</f>
        <v>0</v>
      </c>
    </row>
    <row r="5" spans="1:30" s="1" customFormat="1" ht="15" customHeight="1" x14ac:dyDescent="0.25">
      <c r="A5" s="19">
        <v>45943</v>
      </c>
      <c r="B5" s="9">
        <v>1</v>
      </c>
      <c r="C5" s="11"/>
      <c r="D5" s="13"/>
      <c r="E5" s="9"/>
      <c r="F5" s="11"/>
      <c r="G5" s="13"/>
      <c r="H5" s="9"/>
      <c r="I5" s="11"/>
      <c r="J5" s="13"/>
      <c r="K5" s="9"/>
      <c r="L5" s="11"/>
      <c r="M5" s="13"/>
      <c r="N5" s="9"/>
      <c r="O5" s="11"/>
      <c r="P5" s="13"/>
      <c r="Q5" s="23">
        <f t="shared" si="0"/>
        <v>1</v>
      </c>
      <c r="R5" s="24">
        <f t="shared" si="1"/>
        <v>0</v>
      </c>
      <c r="S5" s="25">
        <f t="shared" si="2"/>
        <v>765</v>
      </c>
      <c r="T5" s="26">
        <f t="shared" si="3"/>
        <v>0</v>
      </c>
      <c r="U5" s="23">
        <f t="shared" si="4"/>
        <v>1</v>
      </c>
      <c r="V5" s="27">
        <f t="shared" si="5"/>
        <v>765</v>
      </c>
      <c r="W5" s="29" t="s">
        <v>22</v>
      </c>
      <c r="X5" s="30" t="s">
        <v>35</v>
      </c>
      <c r="Y5" s="86">
        <f>RSQ(Q3:Q31,ROW(Q3:Q31))</f>
        <v>5.3418565869927742E-2</v>
      </c>
      <c r="AA5" s="1">
        <f t="shared" si="6"/>
        <v>1</v>
      </c>
      <c r="AC5" s="1">
        <f t="shared" si="7"/>
        <v>765</v>
      </c>
    </row>
    <row r="6" spans="1:30" s="1" customFormat="1" ht="15" customHeight="1" x14ac:dyDescent="0.25">
      <c r="A6" s="19">
        <v>45950</v>
      </c>
      <c r="B6" s="9"/>
      <c r="C6" s="11"/>
      <c r="D6" s="13"/>
      <c r="E6" s="9">
        <v>1</v>
      </c>
      <c r="F6" s="11"/>
      <c r="G6" s="13"/>
      <c r="H6" s="9"/>
      <c r="I6" s="11"/>
      <c r="J6" s="13"/>
      <c r="K6" s="9"/>
      <c r="L6" s="11"/>
      <c r="M6" s="13"/>
      <c r="N6" s="9"/>
      <c r="O6" s="11"/>
      <c r="P6" s="13"/>
      <c r="Q6" s="23">
        <f t="shared" si="0"/>
        <v>1</v>
      </c>
      <c r="R6" s="24">
        <f t="shared" si="1"/>
        <v>0</v>
      </c>
      <c r="S6" s="25">
        <f t="shared" si="2"/>
        <v>765</v>
      </c>
      <c r="T6" s="26">
        <f t="shared" si="3"/>
        <v>0</v>
      </c>
      <c r="U6" s="23">
        <f t="shared" si="4"/>
        <v>1</v>
      </c>
      <c r="V6" s="27">
        <f t="shared" si="5"/>
        <v>765</v>
      </c>
      <c r="W6" s="7"/>
      <c r="X6" s="30" t="s">
        <v>36</v>
      </c>
      <c r="Y6" s="86">
        <f>Y3</f>
        <v>6.1083743842364535E-2</v>
      </c>
      <c r="Z6" s="82">
        <f>AVERAGE(Q3:Q6)</f>
        <v>0.75</v>
      </c>
      <c r="AA6" s="1">
        <f t="shared" si="6"/>
        <v>1</v>
      </c>
      <c r="AC6" s="1">
        <f t="shared" si="7"/>
        <v>765</v>
      </c>
    </row>
    <row r="7" spans="1:30" s="1" customFormat="1" ht="15" customHeight="1" x14ac:dyDescent="0.25">
      <c r="A7" s="19">
        <v>45957</v>
      </c>
      <c r="B7" s="9"/>
      <c r="C7" s="11"/>
      <c r="D7" s="13"/>
      <c r="E7" s="9">
        <v>1</v>
      </c>
      <c r="F7" s="11"/>
      <c r="G7" s="13">
        <v>1</v>
      </c>
      <c r="H7" s="9"/>
      <c r="I7" s="11"/>
      <c r="J7" s="13"/>
      <c r="K7" s="9"/>
      <c r="L7" s="11"/>
      <c r="M7" s="13"/>
      <c r="N7" s="9"/>
      <c r="O7" s="11"/>
      <c r="P7" s="13"/>
      <c r="Q7" s="23">
        <f t="shared" si="0"/>
        <v>2</v>
      </c>
      <c r="R7" s="24">
        <f t="shared" si="1"/>
        <v>0</v>
      </c>
      <c r="S7" s="25">
        <f t="shared" si="2"/>
        <v>1530</v>
      </c>
      <c r="T7" s="26">
        <f t="shared" si="3"/>
        <v>0</v>
      </c>
      <c r="U7" s="23">
        <f t="shared" si="4"/>
        <v>2</v>
      </c>
      <c r="V7" s="27">
        <f t="shared" si="5"/>
        <v>1530</v>
      </c>
      <c r="W7" s="7"/>
      <c r="X7" s="30"/>
      <c r="Y7" s="31"/>
      <c r="Z7" s="82">
        <f t="shared" ref="Z7:Z31" si="8">AVERAGE(Q4:Q7)</f>
        <v>1</v>
      </c>
      <c r="AA7" s="1">
        <f t="shared" si="6"/>
        <v>2</v>
      </c>
      <c r="AC7" s="1">
        <f t="shared" si="7"/>
        <v>1530</v>
      </c>
    </row>
    <row r="8" spans="1:30" s="1" customFormat="1" ht="15" customHeight="1" x14ac:dyDescent="0.25">
      <c r="A8" s="19">
        <v>45964</v>
      </c>
      <c r="B8" s="9">
        <v>1</v>
      </c>
      <c r="C8" s="11"/>
      <c r="D8" s="13"/>
      <c r="E8" s="9">
        <v>1</v>
      </c>
      <c r="F8" s="11"/>
      <c r="G8" s="13">
        <v>1</v>
      </c>
      <c r="H8" s="9"/>
      <c r="I8" s="11"/>
      <c r="J8" s="13"/>
      <c r="K8" s="9"/>
      <c r="L8" s="11"/>
      <c r="M8" s="13"/>
      <c r="N8" s="9"/>
      <c r="O8" s="11"/>
      <c r="P8" s="13"/>
      <c r="Q8" s="23">
        <f t="shared" si="0"/>
        <v>3</v>
      </c>
      <c r="R8" s="24">
        <f t="shared" si="1"/>
        <v>0</v>
      </c>
      <c r="S8" s="25">
        <f t="shared" si="2"/>
        <v>2295</v>
      </c>
      <c r="T8" s="26">
        <f t="shared" si="3"/>
        <v>0</v>
      </c>
      <c r="U8" s="23">
        <f t="shared" si="4"/>
        <v>3</v>
      </c>
      <c r="V8" s="27">
        <f t="shared" si="5"/>
        <v>2295</v>
      </c>
      <c r="W8" s="7"/>
      <c r="X8" s="87" t="s">
        <v>37</v>
      </c>
      <c r="Z8" s="82">
        <f t="shared" si="8"/>
        <v>1.75</v>
      </c>
      <c r="AA8" s="1">
        <f t="shared" si="6"/>
        <v>3</v>
      </c>
      <c r="AC8" s="1">
        <f t="shared" si="7"/>
        <v>2295</v>
      </c>
    </row>
    <row r="9" spans="1:30" s="1" customFormat="1" ht="15" customHeight="1" x14ac:dyDescent="0.25">
      <c r="A9" s="19">
        <v>45971</v>
      </c>
      <c r="B9" s="9"/>
      <c r="C9" s="11"/>
      <c r="D9" s="13"/>
      <c r="E9" s="9"/>
      <c r="F9" s="11"/>
      <c r="G9" s="13"/>
      <c r="H9" s="9"/>
      <c r="I9" s="11"/>
      <c r="J9" s="13"/>
      <c r="K9" s="9"/>
      <c r="L9" s="11"/>
      <c r="M9" s="13"/>
      <c r="N9" s="9">
        <v>1</v>
      </c>
      <c r="O9" s="11"/>
      <c r="P9" s="13"/>
      <c r="Q9" s="23">
        <f t="shared" si="0"/>
        <v>1</v>
      </c>
      <c r="R9" s="24">
        <f t="shared" si="1"/>
        <v>0</v>
      </c>
      <c r="S9" s="25">
        <f t="shared" si="2"/>
        <v>765</v>
      </c>
      <c r="T9" s="26">
        <f t="shared" si="3"/>
        <v>0</v>
      </c>
      <c r="U9" s="23">
        <f t="shared" si="4"/>
        <v>1</v>
      </c>
      <c r="V9" s="27">
        <f t="shared" si="5"/>
        <v>765</v>
      </c>
      <c r="W9" s="7"/>
      <c r="X9" s="7" t="s">
        <v>17</v>
      </c>
      <c r="Y9" s="88">
        <v>0.96299999999999997</v>
      </c>
      <c r="Z9" s="82">
        <f t="shared" si="8"/>
        <v>1.75</v>
      </c>
      <c r="AA9" s="1">
        <f t="shared" si="6"/>
        <v>1</v>
      </c>
      <c r="AC9" s="1">
        <f t="shared" si="7"/>
        <v>765</v>
      </c>
    </row>
    <row r="10" spans="1:30" s="1" customFormat="1" ht="15" customHeight="1" x14ac:dyDescent="0.25">
      <c r="A10" s="19">
        <v>45978</v>
      </c>
      <c r="B10" s="9">
        <v>3</v>
      </c>
      <c r="C10" s="11">
        <v>2</v>
      </c>
      <c r="D10" s="13"/>
      <c r="E10" s="9">
        <v>1</v>
      </c>
      <c r="F10" s="11">
        <v>1</v>
      </c>
      <c r="G10" s="13"/>
      <c r="H10" s="9"/>
      <c r="I10" s="11"/>
      <c r="J10" s="13"/>
      <c r="K10" s="9"/>
      <c r="L10" s="11"/>
      <c r="M10" s="13"/>
      <c r="N10" s="9"/>
      <c r="O10" s="11"/>
      <c r="P10" s="13"/>
      <c r="Q10" s="23">
        <f t="shared" si="0"/>
        <v>7</v>
      </c>
      <c r="R10" s="24">
        <f t="shared" si="1"/>
        <v>0</v>
      </c>
      <c r="S10" s="25">
        <f t="shared" si="2"/>
        <v>5355</v>
      </c>
      <c r="T10" s="26">
        <f t="shared" si="3"/>
        <v>0</v>
      </c>
      <c r="U10" s="23">
        <f t="shared" si="4"/>
        <v>7</v>
      </c>
      <c r="V10" s="27">
        <f t="shared" si="5"/>
        <v>5355</v>
      </c>
      <c r="W10" s="7"/>
      <c r="X10" s="7" t="s">
        <v>18</v>
      </c>
      <c r="Y10" s="88">
        <v>3.6999999999999998E-2</v>
      </c>
      <c r="Z10" s="82">
        <f t="shared" si="8"/>
        <v>3.25</v>
      </c>
      <c r="AA10" s="1">
        <f t="shared" si="6"/>
        <v>7</v>
      </c>
      <c r="AC10" s="1">
        <f t="shared" si="7"/>
        <v>5355</v>
      </c>
    </row>
    <row r="11" spans="1:30" s="1" customFormat="1" ht="15" customHeight="1" x14ac:dyDescent="0.25">
      <c r="A11" s="19">
        <v>45985</v>
      </c>
      <c r="B11" s="9"/>
      <c r="C11" s="11"/>
      <c r="D11" s="13">
        <v>2</v>
      </c>
      <c r="E11" s="9"/>
      <c r="F11" s="11"/>
      <c r="G11" s="13">
        <v>1</v>
      </c>
      <c r="H11" s="9"/>
      <c r="I11" s="11"/>
      <c r="J11" s="13"/>
      <c r="K11" s="9"/>
      <c r="L11" s="11"/>
      <c r="M11" s="13"/>
      <c r="N11" s="9"/>
      <c r="O11" s="11">
        <v>2</v>
      </c>
      <c r="P11" s="13"/>
      <c r="Q11" s="23">
        <f t="shared" si="0"/>
        <v>5</v>
      </c>
      <c r="R11" s="24">
        <f t="shared" si="1"/>
        <v>0</v>
      </c>
      <c r="S11" s="25">
        <f t="shared" si="2"/>
        <v>3825</v>
      </c>
      <c r="T11" s="26">
        <f t="shared" si="3"/>
        <v>0</v>
      </c>
      <c r="U11" s="23">
        <f t="shared" si="4"/>
        <v>5</v>
      </c>
      <c r="V11" s="27">
        <f t="shared" si="5"/>
        <v>3825</v>
      </c>
      <c r="W11" s="7"/>
      <c r="X11" s="7" t="s">
        <v>19</v>
      </c>
      <c r="Y11" s="89">
        <v>795</v>
      </c>
      <c r="Z11" s="82">
        <f t="shared" si="8"/>
        <v>4</v>
      </c>
      <c r="AA11" s="1">
        <f t="shared" si="6"/>
        <v>5</v>
      </c>
      <c r="AC11" s="1">
        <f t="shared" si="7"/>
        <v>3825</v>
      </c>
    </row>
    <row r="12" spans="1:30" s="1" customFormat="1" ht="15" customHeight="1" x14ac:dyDescent="0.25">
      <c r="A12" s="19">
        <v>45992</v>
      </c>
      <c r="B12" s="9"/>
      <c r="C12" s="11"/>
      <c r="D12" s="13"/>
      <c r="E12" s="9"/>
      <c r="F12" s="11">
        <v>3</v>
      </c>
      <c r="G12" s="13"/>
      <c r="H12" s="9"/>
      <c r="I12" s="11"/>
      <c r="J12" s="13"/>
      <c r="K12" s="9"/>
      <c r="L12" s="11"/>
      <c r="M12" s="13"/>
      <c r="N12" s="9"/>
      <c r="O12" s="11">
        <v>1</v>
      </c>
      <c r="P12" s="13"/>
      <c r="Q12" s="23">
        <f t="shared" si="0"/>
        <v>4</v>
      </c>
      <c r="R12" s="24">
        <f t="shared" si="1"/>
        <v>0</v>
      </c>
      <c r="S12" s="25">
        <f t="shared" si="2"/>
        <v>3060</v>
      </c>
      <c r="T12" s="26">
        <f t="shared" si="3"/>
        <v>0</v>
      </c>
      <c r="U12" s="23">
        <f t="shared" si="4"/>
        <v>4</v>
      </c>
      <c r="V12" s="27">
        <f t="shared" si="5"/>
        <v>3060</v>
      </c>
      <c r="W12" s="7"/>
      <c r="X12" s="7" t="s">
        <v>20</v>
      </c>
      <c r="Y12" s="89">
        <v>1500</v>
      </c>
      <c r="Z12" s="82">
        <f t="shared" si="8"/>
        <v>4.25</v>
      </c>
      <c r="AA12" s="1">
        <f t="shared" si="6"/>
        <v>4</v>
      </c>
      <c r="AC12" s="1">
        <f t="shared" si="7"/>
        <v>3060</v>
      </c>
    </row>
    <row r="13" spans="1:30" s="1" customFormat="1" ht="15" customHeight="1" x14ac:dyDescent="0.25">
      <c r="A13" s="19">
        <v>45999</v>
      </c>
      <c r="B13" s="9"/>
      <c r="C13" s="11"/>
      <c r="D13" s="13"/>
      <c r="E13" s="9"/>
      <c r="F13" s="11">
        <v>1</v>
      </c>
      <c r="G13" s="13"/>
      <c r="H13" s="9"/>
      <c r="I13" s="11"/>
      <c r="J13" s="13"/>
      <c r="K13" s="9"/>
      <c r="L13" s="11"/>
      <c r="M13" s="13"/>
      <c r="N13" s="9">
        <v>1</v>
      </c>
      <c r="O13" s="11"/>
      <c r="P13" s="13"/>
      <c r="Q13" s="23">
        <f t="shared" si="0"/>
        <v>2</v>
      </c>
      <c r="R13" s="24">
        <f t="shared" si="1"/>
        <v>0</v>
      </c>
      <c r="S13" s="25">
        <f t="shared" si="2"/>
        <v>1530</v>
      </c>
      <c r="T13" s="26">
        <f t="shared" si="3"/>
        <v>0</v>
      </c>
      <c r="U13" s="23">
        <f t="shared" si="4"/>
        <v>2</v>
      </c>
      <c r="V13" s="27">
        <f t="shared" si="5"/>
        <v>1530</v>
      </c>
      <c r="W13" s="7"/>
      <c r="X13" s="7"/>
      <c r="Z13" s="82">
        <f t="shared" si="8"/>
        <v>4.5</v>
      </c>
      <c r="AA13" s="1">
        <f t="shared" si="6"/>
        <v>2</v>
      </c>
      <c r="AC13" s="1">
        <f t="shared" si="7"/>
        <v>1530</v>
      </c>
    </row>
    <row r="14" spans="1:30" s="1" customFormat="1" ht="15" customHeight="1" x14ac:dyDescent="0.25">
      <c r="A14" s="19">
        <v>46006</v>
      </c>
      <c r="B14" s="9"/>
      <c r="C14" s="11"/>
      <c r="D14" s="13">
        <v>1</v>
      </c>
      <c r="E14" s="9"/>
      <c r="F14" s="11">
        <v>1</v>
      </c>
      <c r="G14" s="13"/>
      <c r="H14" s="9"/>
      <c r="I14" s="11"/>
      <c r="J14" s="13"/>
      <c r="K14" s="9"/>
      <c r="L14" s="11"/>
      <c r="M14" s="13"/>
      <c r="N14" s="9"/>
      <c r="O14" s="11">
        <v>1</v>
      </c>
      <c r="P14" s="13"/>
      <c r="Q14" s="23">
        <f t="shared" si="0"/>
        <v>3</v>
      </c>
      <c r="R14" s="24">
        <f t="shared" si="1"/>
        <v>0</v>
      </c>
      <c r="S14" s="25">
        <f t="shared" si="2"/>
        <v>2295</v>
      </c>
      <c r="T14" s="26">
        <f t="shared" si="3"/>
        <v>0</v>
      </c>
      <c r="U14" s="23">
        <f t="shared" si="4"/>
        <v>3</v>
      </c>
      <c r="V14" s="27">
        <f t="shared" si="5"/>
        <v>2295</v>
      </c>
      <c r="W14" s="7"/>
      <c r="X14" s="87" t="s">
        <v>38</v>
      </c>
      <c r="Z14" s="82">
        <f t="shared" si="8"/>
        <v>3.5</v>
      </c>
      <c r="AA14" s="1">
        <f t="shared" si="6"/>
        <v>3</v>
      </c>
      <c r="AC14" s="1">
        <f t="shared" si="7"/>
        <v>2295</v>
      </c>
    </row>
    <row r="15" spans="1:30" s="1" customFormat="1" ht="15" customHeight="1" x14ac:dyDescent="0.25">
      <c r="A15" s="19">
        <v>46013</v>
      </c>
      <c r="B15" s="9">
        <v>1</v>
      </c>
      <c r="C15" s="11"/>
      <c r="D15" s="13">
        <v>1</v>
      </c>
      <c r="E15" s="9"/>
      <c r="F15" s="11"/>
      <c r="G15" s="13"/>
      <c r="H15" s="9"/>
      <c r="I15" s="11"/>
      <c r="J15" s="13"/>
      <c r="K15" s="9"/>
      <c r="L15" s="11"/>
      <c r="M15" s="13"/>
      <c r="N15" s="9"/>
      <c r="O15" s="11"/>
      <c r="P15" s="13"/>
      <c r="Q15" s="23">
        <f t="shared" si="0"/>
        <v>2</v>
      </c>
      <c r="R15" s="24">
        <f t="shared" si="1"/>
        <v>0</v>
      </c>
      <c r="S15" s="25">
        <f t="shared" si="2"/>
        <v>1530</v>
      </c>
      <c r="T15" s="26">
        <f t="shared" si="3"/>
        <v>0</v>
      </c>
      <c r="U15" s="23">
        <f t="shared" si="4"/>
        <v>2</v>
      </c>
      <c r="V15" s="27">
        <f t="shared" si="5"/>
        <v>1530</v>
      </c>
      <c r="W15" s="7"/>
      <c r="X15" s="7" t="s">
        <v>39</v>
      </c>
      <c r="Y15" s="90">
        <v>40</v>
      </c>
      <c r="Z15" s="82">
        <f t="shared" si="8"/>
        <v>2.75</v>
      </c>
      <c r="AA15" s="1">
        <f t="shared" si="6"/>
        <v>2</v>
      </c>
      <c r="AC15" s="1">
        <f t="shared" si="7"/>
        <v>1530</v>
      </c>
    </row>
    <row r="16" spans="1:30" s="1" customFormat="1" ht="15" customHeight="1" x14ac:dyDescent="0.25">
      <c r="A16" s="19">
        <v>46020</v>
      </c>
      <c r="B16" s="9"/>
      <c r="C16" s="11"/>
      <c r="D16" s="13">
        <v>1</v>
      </c>
      <c r="E16" s="9"/>
      <c r="F16" s="11">
        <v>2</v>
      </c>
      <c r="G16" s="13"/>
      <c r="H16" s="9"/>
      <c r="I16" s="11"/>
      <c r="J16" s="13"/>
      <c r="K16" s="9"/>
      <c r="L16" s="11"/>
      <c r="M16" s="13"/>
      <c r="N16" s="9"/>
      <c r="O16" s="11"/>
      <c r="P16" s="13"/>
      <c r="Q16" s="23">
        <f t="shared" si="0"/>
        <v>3</v>
      </c>
      <c r="R16" s="24">
        <f t="shared" si="1"/>
        <v>0</v>
      </c>
      <c r="S16" s="25">
        <f t="shared" si="2"/>
        <v>2295</v>
      </c>
      <c r="T16" s="26">
        <f t="shared" si="3"/>
        <v>0</v>
      </c>
      <c r="U16" s="23">
        <f t="shared" si="4"/>
        <v>3</v>
      </c>
      <c r="V16" s="27">
        <f t="shared" si="5"/>
        <v>2295</v>
      </c>
      <c r="W16" s="7"/>
      <c r="X16" s="7" t="s">
        <v>40</v>
      </c>
      <c r="Y16" s="91">
        <v>0</v>
      </c>
      <c r="Z16" s="82">
        <f t="shared" si="8"/>
        <v>2.5</v>
      </c>
      <c r="AA16" s="1">
        <f t="shared" si="6"/>
        <v>3</v>
      </c>
      <c r="AC16" s="1">
        <f t="shared" si="7"/>
        <v>2295</v>
      </c>
    </row>
    <row r="17" spans="1:30" s="1" customFormat="1" ht="15" customHeight="1" x14ac:dyDescent="0.25">
      <c r="A17" s="19">
        <v>46027</v>
      </c>
      <c r="B17" s="9"/>
      <c r="C17" s="11"/>
      <c r="D17" s="13"/>
      <c r="E17" s="9"/>
      <c r="F17" s="11"/>
      <c r="G17" s="13"/>
      <c r="H17" s="9"/>
      <c r="I17" s="11"/>
      <c r="J17" s="13"/>
      <c r="K17" s="9"/>
      <c r="L17" s="11"/>
      <c r="M17" s="13"/>
      <c r="N17" s="9"/>
      <c r="O17" s="11"/>
      <c r="P17" s="13"/>
      <c r="Q17" s="23">
        <f t="shared" si="0"/>
        <v>0</v>
      </c>
      <c r="R17" s="24">
        <f t="shared" si="1"/>
        <v>0</v>
      </c>
      <c r="S17" s="25">
        <f t="shared" si="2"/>
        <v>0</v>
      </c>
      <c r="T17" s="26">
        <f t="shared" si="3"/>
        <v>0</v>
      </c>
      <c r="U17" s="23">
        <f t="shared" si="4"/>
        <v>0</v>
      </c>
      <c r="V17" s="27">
        <f t="shared" si="5"/>
        <v>0</v>
      </c>
      <c r="W17" s="7"/>
      <c r="X17" s="7" t="s">
        <v>41</v>
      </c>
      <c r="Y17" s="92">
        <v>0</v>
      </c>
      <c r="Z17" s="82">
        <f t="shared" si="8"/>
        <v>2</v>
      </c>
      <c r="AA17" s="1">
        <f t="shared" si="6"/>
        <v>0</v>
      </c>
      <c r="AC17" s="1">
        <f t="shared" si="7"/>
        <v>0</v>
      </c>
    </row>
    <row r="18" spans="1:30" s="1" customFormat="1" ht="15" customHeight="1" x14ac:dyDescent="0.25">
      <c r="A18" s="19">
        <v>46034</v>
      </c>
      <c r="B18" s="9"/>
      <c r="C18" s="11">
        <v>2</v>
      </c>
      <c r="D18" s="13"/>
      <c r="E18" s="9"/>
      <c r="F18" s="11"/>
      <c r="G18" s="13"/>
      <c r="H18" s="9"/>
      <c r="I18" s="11"/>
      <c r="J18" s="13"/>
      <c r="K18" s="9"/>
      <c r="L18" s="11"/>
      <c r="M18" s="13"/>
      <c r="N18" s="9"/>
      <c r="O18" s="11"/>
      <c r="P18" s="13"/>
      <c r="Q18" s="23">
        <f t="shared" si="0"/>
        <v>2</v>
      </c>
      <c r="R18" s="24">
        <f t="shared" si="1"/>
        <v>0</v>
      </c>
      <c r="S18" s="25">
        <f t="shared" si="2"/>
        <v>1530</v>
      </c>
      <c r="T18" s="26">
        <f t="shared" si="3"/>
        <v>0</v>
      </c>
      <c r="U18" s="23">
        <f t="shared" si="4"/>
        <v>2</v>
      </c>
      <c r="V18" s="27">
        <f t="shared" si="5"/>
        <v>1530</v>
      </c>
      <c r="Z18" s="82">
        <f t="shared" si="8"/>
        <v>1.75</v>
      </c>
      <c r="AA18" s="1">
        <f t="shared" si="6"/>
        <v>2</v>
      </c>
      <c r="AC18" s="1">
        <f t="shared" si="7"/>
        <v>1530</v>
      </c>
    </row>
    <row r="19" spans="1:30" s="1" customFormat="1" ht="15" customHeight="1" x14ac:dyDescent="0.25">
      <c r="A19" s="19">
        <v>46041</v>
      </c>
      <c r="B19" s="9">
        <v>1</v>
      </c>
      <c r="C19" s="11">
        <v>2</v>
      </c>
      <c r="D19" s="13"/>
      <c r="E19" s="9">
        <v>4</v>
      </c>
      <c r="F19" s="11">
        <v>3</v>
      </c>
      <c r="G19" s="13"/>
      <c r="H19" s="9"/>
      <c r="I19" s="11"/>
      <c r="J19" s="18">
        <v>1</v>
      </c>
      <c r="K19" s="9"/>
      <c r="L19" s="11"/>
      <c r="M19" s="13"/>
      <c r="N19" s="9"/>
      <c r="O19" s="11"/>
      <c r="P19" s="13"/>
      <c r="Q19" s="23">
        <f t="shared" si="0"/>
        <v>10</v>
      </c>
      <c r="R19" s="24">
        <f t="shared" si="1"/>
        <v>1</v>
      </c>
      <c r="S19" s="25">
        <f t="shared" si="2"/>
        <v>7650</v>
      </c>
      <c r="T19" s="26">
        <f t="shared" si="3"/>
        <v>1500</v>
      </c>
      <c r="U19" s="23">
        <f t="shared" si="4"/>
        <v>11</v>
      </c>
      <c r="V19" s="27">
        <f t="shared" si="5"/>
        <v>9150</v>
      </c>
      <c r="X19" s="93" t="s">
        <v>42</v>
      </c>
      <c r="Z19" s="82">
        <f t="shared" si="8"/>
        <v>3.75</v>
      </c>
      <c r="AA19" s="1">
        <f t="shared" si="6"/>
        <v>11</v>
      </c>
      <c r="AC19" s="1">
        <f t="shared" si="7"/>
        <v>9150</v>
      </c>
    </row>
    <row r="20" spans="1:30" s="1" customFormat="1" ht="15" customHeight="1" x14ac:dyDescent="0.25">
      <c r="A20" s="19">
        <v>46048</v>
      </c>
      <c r="B20" s="9"/>
      <c r="C20" s="11">
        <v>1</v>
      </c>
      <c r="D20" s="13"/>
      <c r="E20" s="9"/>
      <c r="F20" s="11"/>
      <c r="G20" s="13"/>
      <c r="H20" s="9"/>
      <c r="I20" s="11"/>
      <c r="J20" s="13"/>
      <c r="K20" s="9"/>
      <c r="L20" s="11"/>
      <c r="M20" s="13"/>
      <c r="N20" s="9"/>
      <c r="O20" s="11"/>
      <c r="P20" s="13"/>
      <c r="Q20" s="23">
        <f t="shared" si="0"/>
        <v>1</v>
      </c>
      <c r="R20" s="24">
        <f t="shared" si="1"/>
        <v>0</v>
      </c>
      <c r="S20" s="25">
        <f t="shared" si="2"/>
        <v>765</v>
      </c>
      <c r="T20" s="26">
        <f t="shared" si="3"/>
        <v>0</v>
      </c>
      <c r="U20" s="23">
        <f t="shared" si="4"/>
        <v>1</v>
      </c>
      <c r="V20" s="27">
        <f t="shared" si="5"/>
        <v>765</v>
      </c>
      <c r="X20" s="1" t="s">
        <v>39</v>
      </c>
      <c r="Y20" s="90">
        <v>45</v>
      </c>
      <c r="Z20" s="82">
        <f t="shared" si="8"/>
        <v>3.25</v>
      </c>
      <c r="AA20" s="1">
        <f t="shared" si="6"/>
        <v>1</v>
      </c>
      <c r="AC20" s="1">
        <f t="shared" si="7"/>
        <v>765</v>
      </c>
    </row>
    <row r="21" spans="1:30" s="1" customFormat="1" ht="15" customHeight="1" x14ac:dyDescent="0.25">
      <c r="A21" s="19">
        <v>46055</v>
      </c>
      <c r="B21" s="9">
        <v>1</v>
      </c>
      <c r="C21" s="11">
        <v>1</v>
      </c>
      <c r="D21" s="13"/>
      <c r="E21" s="9">
        <v>1</v>
      </c>
      <c r="F21" s="11"/>
      <c r="G21" s="13"/>
      <c r="H21" s="9"/>
      <c r="I21" s="11"/>
      <c r="J21" s="13"/>
      <c r="K21" s="9"/>
      <c r="L21" s="11"/>
      <c r="M21" s="13"/>
      <c r="N21" s="9"/>
      <c r="O21" s="11"/>
      <c r="P21" s="13"/>
      <c r="Q21" s="23">
        <f t="shared" si="0"/>
        <v>3</v>
      </c>
      <c r="R21" s="24">
        <f t="shared" si="1"/>
        <v>0</v>
      </c>
      <c r="S21" s="25">
        <f t="shared" si="2"/>
        <v>2295</v>
      </c>
      <c r="T21" s="26">
        <f t="shared" si="3"/>
        <v>0</v>
      </c>
      <c r="U21" s="23">
        <f t="shared" si="4"/>
        <v>3</v>
      </c>
      <c r="V21" s="27">
        <f t="shared" si="5"/>
        <v>2295</v>
      </c>
      <c r="X21" s="1" t="s">
        <v>40</v>
      </c>
      <c r="Y21" s="91">
        <v>0</v>
      </c>
      <c r="Z21" s="82">
        <f t="shared" si="8"/>
        <v>4</v>
      </c>
      <c r="AA21" s="1">
        <f t="shared" si="6"/>
        <v>3</v>
      </c>
      <c r="AC21" s="1">
        <f t="shared" si="7"/>
        <v>2295</v>
      </c>
    </row>
    <row r="22" spans="1:30" s="1" customFormat="1" ht="15" customHeight="1" x14ac:dyDescent="0.25">
      <c r="A22" s="19">
        <v>46062</v>
      </c>
      <c r="B22" s="9"/>
      <c r="C22" s="11">
        <v>1</v>
      </c>
      <c r="D22" s="13"/>
      <c r="E22" s="9"/>
      <c r="F22" s="11"/>
      <c r="G22" s="13"/>
      <c r="H22" s="9"/>
      <c r="I22" s="11"/>
      <c r="J22" s="13">
        <v>1</v>
      </c>
      <c r="K22" s="9"/>
      <c r="L22" s="11"/>
      <c r="M22" s="13"/>
      <c r="N22" s="9"/>
      <c r="O22" s="11"/>
      <c r="P22" s="13"/>
      <c r="Q22" s="23">
        <f t="shared" si="0"/>
        <v>1</v>
      </c>
      <c r="R22" s="24">
        <f t="shared" si="1"/>
        <v>1</v>
      </c>
      <c r="S22" s="25">
        <f t="shared" si="2"/>
        <v>765</v>
      </c>
      <c r="T22" s="26">
        <f t="shared" si="3"/>
        <v>1500</v>
      </c>
      <c r="U22" s="23">
        <f t="shared" si="4"/>
        <v>2</v>
      </c>
      <c r="V22" s="27">
        <f t="shared" si="5"/>
        <v>2265</v>
      </c>
      <c r="X22" s="1" t="s">
        <v>41</v>
      </c>
      <c r="Y22" s="92">
        <v>0</v>
      </c>
      <c r="Z22" s="82">
        <f t="shared" si="8"/>
        <v>3.75</v>
      </c>
      <c r="AA22" s="1">
        <f t="shared" si="6"/>
        <v>2</v>
      </c>
      <c r="AC22" s="1">
        <f t="shared" si="7"/>
        <v>2265</v>
      </c>
    </row>
    <row r="23" spans="1:30" s="1" customFormat="1" ht="15" customHeight="1" x14ac:dyDescent="0.25">
      <c r="A23" s="19">
        <v>46069</v>
      </c>
      <c r="B23" s="9"/>
      <c r="C23" s="11"/>
      <c r="D23" s="13"/>
      <c r="E23" s="9">
        <v>1</v>
      </c>
      <c r="F23" s="11"/>
      <c r="G23" s="13">
        <v>1</v>
      </c>
      <c r="H23" s="9"/>
      <c r="I23" s="11"/>
      <c r="J23" s="18"/>
      <c r="K23" s="9"/>
      <c r="L23" s="11"/>
      <c r="M23" s="13"/>
      <c r="N23" s="9"/>
      <c r="O23" s="11"/>
      <c r="P23" s="13"/>
      <c r="Q23" s="23">
        <f t="shared" si="0"/>
        <v>2</v>
      </c>
      <c r="R23" s="24">
        <f t="shared" si="1"/>
        <v>0</v>
      </c>
      <c r="S23" s="25">
        <f t="shared" si="2"/>
        <v>1530</v>
      </c>
      <c r="T23" s="26">
        <f t="shared" si="3"/>
        <v>0</v>
      </c>
      <c r="U23" s="23">
        <f t="shared" si="4"/>
        <v>2</v>
      </c>
      <c r="V23" s="27">
        <f t="shared" si="5"/>
        <v>1530</v>
      </c>
      <c r="Z23" s="82">
        <f t="shared" si="8"/>
        <v>1.75</v>
      </c>
      <c r="AA23" s="1">
        <f t="shared" si="6"/>
        <v>2</v>
      </c>
      <c r="AC23" s="1">
        <f t="shared" si="7"/>
        <v>1530</v>
      </c>
    </row>
    <row r="24" spans="1:30" ht="15" customHeight="1" x14ac:dyDescent="0.25">
      <c r="A24" s="19">
        <v>46076</v>
      </c>
      <c r="B24" s="9"/>
      <c r="C24" s="11"/>
      <c r="D24" s="13">
        <v>1</v>
      </c>
      <c r="E24" s="9">
        <v>1</v>
      </c>
      <c r="F24" s="11"/>
      <c r="G24" s="13"/>
      <c r="H24" s="9"/>
      <c r="I24" s="11"/>
      <c r="J24" s="13"/>
      <c r="K24" s="9"/>
      <c r="L24" s="11"/>
      <c r="M24" s="13"/>
      <c r="N24" s="9"/>
      <c r="O24" s="11"/>
      <c r="P24" s="13"/>
      <c r="Q24" s="23">
        <f t="shared" si="0"/>
        <v>2</v>
      </c>
      <c r="R24" s="24">
        <f t="shared" si="1"/>
        <v>0</v>
      </c>
      <c r="S24" s="25">
        <f t="shared" si="2"/>
        <v>1530</v>
      </c>
      <c r="T24" s="26">
        <f t="shared" si="3"/>
        <v>0</v>
      </c>
      <c r="U24" s="23">
        <f t="shared" si="4"/>
        <v>2</v>
      </c>
      <c r="V24" s="27">
        <f t="shared" si="5"/>
        <v>1530</v>
      </c>
      <c r="Z24" s="82">
        <f t="shared" si="8"/>
        <v>2</v>
      </c>
      <c r="AA24" s="1">
        <f t="shared" si="6"/>
        <v>2</v>
      </c>
      <c r="AC24" s="1">
        <f t="shared" si="7"/>
        <v>1530</v>
      </c>
    </row>
    <row r="25" spans="1:30" ht="15" customHeight="1" x14ac:dyDescent="0.25">
      <c r="A25" s="19">
        <v>46083</v>
      </c>
      <c r="B25" s="9"/>
      <c r="C25" s="11">
        <v>1</v>
      </c>
      <c r="D25" s="13"/>
      <c r="E25" s="9"/>
      <c r="F25" s="11"/>
      <c r="G25" s="13"/>
      <c r="H25" s="9"/>
      <c r="I25" s="11"/>
      <c r="J25" s="13"/>
      <c r="K25" s="9"/>
      <c r="L25" s="11"/>
      <c r="M25" s="13"/>
      <c r="N25" s="9"/>
      <c r="O25" s="11"/>
      <c r="P25" s="13"/>
      <c r="Q25" s="23">
        <f t="shared" si="0"/>
        <v>1</v>
      </c>
      <c r="R25" s="24">
        <f t="shared" si="1"/>
        <v>0</v>
      </c>
      <c r="S25" s="25">
        <f t="shared" si="2"/>
        <v>765</v>
      </c>
      <c r="T25" s="26">
        <f t="shared" si="3"/>
        <v>0</v>
      </c>
      <c r="U25" s="23">
        <f t="shared" si="4"/>
        <v>1</v>
      </c>
      <c r="V25" s="27">
        <f t="shared" si="5"/>
        <v>765</v>
      </c>
      <c r="Z25" s="82">
        <f t="shared" si="8"/>
        <v>1.5</v>
      </c>
      <c r="AA25" s="1">
        <f t="shared" si="6"/>
        <v>1</v>
      </c>
      <c r="AC25" s="1">
        <f t="shared" si="7"/>
        <v>765</v>
      </c>
    </row>
    <row r="26" spans="1:30" ht="15" customHeight="1" x14ac:dyDescent="0.25">
      <c r="A26" s="19">
        <v>46090</v>
      </c>
      <c r="B26" s="9"/>
      <c r="C26" s="11">
        <v>1</v>
      </c>
      <c r="D26" s="13"/>
      <c r="E26" s="9"/>
      <c r="F26" s="11">
        <v>1</v>
      </c>
      <c r="G26" s="13"/>
      <c r="H26" s="9"/>
      <c r="I26" s="11"/>
      <c r="J26" s="13"/>
      <c r="K26" s="9"/>
      <c r="L26" s="11"/>
      <c r="M26" s="13"/>
      <c r="N26" s="9"/>
      <c r="O26" s="11"/>
      <c r="P26" s="13"/>
      <c r="Q26" s="23">
        <f t="shared" si="0"/>
        <v>2</v>
      </c>
      <c r="R26" s="24">
        <f t="shared" si="1"/>
        <v>0</v>
      </c>
      <c r="S26" s="25">
        <f t="shared" si="2"/>
        <v>1530</v>
      </c>
      <c r="T26" s="26">
        <f t="shared" si="3"/>
        <v>0</v>
      </c>
      <c r="U26" s="23">
        <f t="shared" si="4"/>
        <v>2</v>
      </c>
      <c r="V26" s="27">
        <f t="shared" si="5"/>
        <v>1530</v>
      </c>
      <c r="Z26" s="82">
        <f t="shared" si="8"/>
        <v>1.75</v>
      </c>
      <c r="AA26" s="1">
        <f t="shared" si="6"/>
        <v>2</v>
      </c>
      <c r="AC26" s="1">
        <f t="shared" si="7"/>
        <v>1530</v>
      </c>
    </row>
    <row r="27" spans="1:30" ht="15" customHeight="1" x14ac:dyDescent="0.25">
      <c r="A27" s="21">
        <v>46097</v>
      </c>
      <c r="B27" s="9"/>
      <c r="C27" s="11"/>
      <c r="D27" s="13"/>
      <c r="E27" s="9"/>
      <c r="F27" s="11">
        <v>1</v>
      </c>
      <c r="G27" s="13"/>
      <c r="H27" s="9"/>
      <c r="I27" s="11"/>
      <c r="J27" s="18"/>
      <c r="K27" s="9"/>
      <c r="L27" s="11"/>
      <c r="M27" s="13"/>
      <c r="N27" s="9"/>
      <c r="O27" s="11"/>
      <c r="P27" s="13"/>
      <c r="Q27" s="23">
        <f t="shared" si="0"/>
        <v>1</v>
      </c>
      <c r="R27" s="24">
        <f t="shared" si="1"/>
        <v>0</v>
      </c>
      <c r="S27" s="25">
        <f>Q27*795</f>
        <v>795</v>
      </c>
      <c r="T27" s="26">
        <f t="shared" si="3"/>
        <v>0</v>
      </c>
      <c r="U27" s="23">
        <f t="shared" si="4"/>
        <v>1</v>
      </c>
      <c r="V27" s="27">
        <f t="shared" si="5"/>
        <v>795</v>
      </c>
      <c r="Z27" s="82">
        <f t="shared" si="8"/>
        <v>1.5</v>
      </c>
      <c r="AA27" s="1">
        <f t="shared" si="6"/>
        <v>1</v>
      </c>
      <c r="AC27" s="1">
        <f t="shared" si="7"/>
        <v>795</v>
      </c>
    </row>
    <row r="28" spans="1:30" ht="15" customHeight="1" x14ac:dyDescent="0.25">
      <c r="A28" s="19">
        <v>46104</v>
      </c>
      <c r="B28" s="9"/>
      <c r="C28" s="11">
        <v>1</v>
      </c>
      <c r="D28" s="13"/>
      <c r="E28" s="9">
        <v>3</v>
      </c>
      <c r="F28" s="11"/>
      <c r="G28" s="13">
        <v>1</v>
      </c>
      <c r="H28" s="9"/>
      <c r="I28" s="11"/>
      <c r="J28" s="13"/>
      <c r="K28" s="9"/>
      <c r="L28" s="11"/>
      <c r="M28" s="13"/>
      <c r="N28" s="9"/>
      <c r="O28" s="11"/>
      <c r="P28" s="13"/>
      <c r="Q28" s="23">
        <f t="shared" si="0"/>
        <v>5</v>
      </c>
      <c r="R28" s="24">
        <f t="shared" si="1"/>
        <v>0</v>
      </c>
      <c r="S28" s="25">
        <f t="shared" ref="S28:S31" si="9">Q28*795</f>
        <v>3975</v>
      </c>
      <c r="T28" s="26">
        <f t="shared" si="3"/>
        <v>0</v>
      </c>
      <c r="U28" s="23">
        <f t="shared" si="4"/>
        <v>5</v>
      </c>
      <c r="V28" s="27">
        <f t="shared" si="5"/>
        <v>3975</v>
      </c>
      <c r="Z28" s="82">
        <f t="shared" si="8"/>
        <v>2.25</v>
      </c>
      <c r="AA28" s="1">
        <f t="shared" si="6"/>
        <v>5</v>
      </c>
      <c r="AC28" s="1">
        <f t="shared" si="7"/>
        <v>3975</v>
      </c>
    </row>
    <row r="29" spans="1:30" ht="15" customHeight="1" x14ac:dyDescent="0.25">
      <c r="A29" s="19">
        <v>46111</v>
      </c>
      <c r="B29" s="9">
        <v>1</v>
      </c>
      <c r="C29" s="11">
        <v>1</v>
      </c>
      <c r="D29" s="13">
        <v>1</v>
      </c>
      <c r="E29" s="9"/>
      <c r="F29" s="11">
        <v>1</v>
      </c>
      <c r="G29" s="13">
        <v>1</v>
      </c>
      <c r="H29" s="9"/>
      <c r="I29" s="11">
        <v>1</v>
      </c>
      <c r="J29" s="13"/>
      <c r="K29" s="9"/>
      <c r="L29" s="11"/>
      <c r="M29" s="13"/>
      <c r="N29" s="9"/>
      <c r="O29" s="11"/>
      <c r="P29" s="13"/>
      <c r="Q29" s="23">
        <f t="shared" si="0"/>
        <v>5</v>
      </c>
      <c r="R29" s="24">
        <f t="shared" si="1"/>
        <v>1</v>
      </c>
      <c r="S29" s="25">
        <f t="shared" si="9"/>
        <v>3975</v>
      </c>
      <c r="T29" s="26">
        <f t="shared" si="3"/>
        <v>1500</v>
      </c>
      <c r="U29" s="23">
        <f t="shared" si="4"/>
        <v>6</v>
      </c>
      <c r="V29" s="27">
        <f t="shared" si="5"/>
        <v>5475</v>
      </c>
      <c r="Z29" s="82">
        <f t="shared" si="8"/>
        <v>3.25</v>
      </c>
      <c r="AA29" s="1">
        <f t="shared" si="6"/>
        <v>6</v>
      </c>
      <c r="AC29" s="1">
        <f t="shared" si="7"/>
        <v>5475</v>
      </c>
    </row>
    <row r="30" spans="1:30" ht="15" customHeight="1" x14ac:dyDescent="0.25">
      <c r="A30" s="35">
        <v>46118</v>
      </c>
      <c r="B30" s="36"/>
      <c r="C30" s="37">
        <v>1</v>
      </c>
      <c r="D30" s="38">
        <v>3</v>
      </c>
      <c r="E30" s="36"/>
      <c r="F30" s="37"/>
      <c r="G30" s="38">
        <v>2</v>
      </c>
      <c r="H30" s="36"/>
      <c r="I30" s="37"/>
      <c r="J30" s="38"/>
      <c r="K30" s="36"/>
      <c r="L30" s="37"/>
      <c r="M30" s="38"/>
      <c r="N30" s="36"/>
      <c r="O30" s="37"/>
      <c r="P30" s="38"/>
      <c r="Q30" s="39">
        <f t="shared" si="0"/>
        <v>6</v>
      </c>
      <c r="R30" s="40">
        <f t="shared" si="1"/>
        <v>0</v>
      </c>
      <c r="S30" s="41">
        <f t="shared" si="9"/>
        <v>4770</v>
      </c>
      <c r="T30" s="42">
        <f t="shared" si="3"/>
        <v>0</v>
      </c>
      <c r="U30" s="39">
        <f t="shared" si="4"/>
        <v>6</v>
      </c>
      <c r="V30" s="43">
        <f t="shared" si="5"/>
        <v>4770</v>
      </c>
      <c r="Z30" s="82">
        <f t="shared" si="8"/>
        <v>4.25</v>
      </c>
      <c r="AA30" s="1">
        <f t="shared" si="6"/>
        <v>6</v>
      </c>
      <c r="AC30" s="1">
        <f t="shared" si="7"/>
        <v>4770</v>
      </c>
    </row>
    <row r="31" spans="1:30" ht="15" customHeight="1" thickBot="1" x14ac:dyDescent="0.3">
      <c r="A31" s="35">
        <v>46125</v>
      </c>
      <c r="B31" s="36"/>
      <c r="C31" s="37"/>
      <c r="D31" s="38">
        <v>2</v>
      </c>
      <c r="E31" s="36"/>
      <c r="F31" s="37">
        <v>1</v>
      </c>
      <c r="G31" s="38"/>
      <c r="H31" s="36"/>
      <c r="I31" s="37"/>
      <c r="J31" s="44"/>
      <c r="K31" s="36"/>
      <c r="L31" s="37"/>
      <c r="M31" s="38"/>
      <c r="N31" s="36"/>
      <c r="O31" s="37"/>
      <c r="P31" s="38"/>
      <c r="Q31" s="39">
        <f t="shared" si="0"/>
        <v>3</v>
      </c>
      <c r="R31" s="40">
        <f t="shared" si="1"/>
        <v>0</v>
      </c>
      <c r="S31" s="41">
        <f t="shared" si="9"/>
        <v>2385</v>
      </c>
      <c r="T31" s="42">
        <f t="shared" si="3"/>
        <v>0</v>
      </c>
      <c r="U31" s="39">
        <f t="shared" si="4"/>
        <v>3</v>
      </c>
      <c r="V31" s="43">
        <f t="shared" si="5"/>
        <v>2385</v>
      </c>
      <c r="Z31" s="82">
        <f t="shared" si="8"/>
        <v>4.75</v>
      </c>
      <c r="AA31" s="1">
        <f t="shared" si="6"/>
        <v>3</v>
      </c>
      <c r="AB31">
        <f>U31</f>
        <v>3</v>
      </c>
      <c r="AC31" s="1">
        <f t="shared" si="7"/>
        <v>2385</v>
      </c>
      <c r="AD31">
        <f>V31</f>
        <v>2385</v>
      </c>
    </row>
    <row r="32" spans="1:30" ht="15" customHeight="1" thickBot="1" x14ac:dyDescent="0.3">
      <c r="A32" s="45">
        <v>46132</v>
      </c>
      <c r="B32" s="46"/>
      <c r="C32" s="47"/>
      <c r="D32" s="48"/>
      <c r="E32" s="46"/>
      <c r="F32" s="47"/>
      <c r="G32" s="48"/>
      <c r="H32" s="46"/>
      <c r="I32" s="47"/>
      <c r="J32" s="48"/>
      <c r="K32" s="46"/>
      <c r="L32" s="47"/>
      <c r="M32" s="48"/>
      <c r="N32" s="46"/>
      <c r="O32" s="47"/>
      <c r="P32" s="48"/>
      <c r="Q32" s="94">
        <f>MAX(0,$Y$4+$Y$3*ROW())*$Y$9 + IF(ROW()&gt;=$Y$15,$Y$16,0) + IF(ROW()&gt;=$Y$20,$Y$21,0)</f>
        <v>3.5056995073891621</v>
      </c>
      <c r="R32" s="95">
        <f>MAX(0,$Y$4+$Y$3*ROW())*$Y$10</f>
        <v>0.13469458128078818</v>
      </c>
      <c r="S32" s="96">
        <f>(MAX(0,$Y$4+$Y$3*ROW())*$Y$9)*$Y$11 + IF(ROW()&gt;=$Y$15,$Y$16*$Y$17,0) + IF(ROW()&gt;=$Y$20,$Y$21*$Y$22,0)</f>
        <v>2787.0311083743841</v>
      </c>
      <c r="T32" s="97">
        <f>R32*$Y$12</f>
        <v>202.04187192118226</v>
      </c>
      <c r="U32" s="49">
        <f>SUM(Q32:R32)</f>
        <v>3.6403940886699502</v>
      </c>
      <c r="V32" s="50">
        <f>SUM(S32:T32)</f>
        <v>2989.0729802955661</v>
      </c>
      <c r="W32" s="34" t="s">
        <v>23</v>
      </c>
      <c r="AB32">
        <f>U32</f>
        <v>3.6403940886699502</v>
      </c>
      <c r="AD32">
        <f>V32</f>
        <v>2989.0729802955661</v>
      </c>
    </row>
    <row r="33" spans="1:30" ht="15" customHeight="1" thickBot="1" x14ac:dyDescent="0.3">
      <c r="A33" s="51">
        <v>46139</v>
      </c>
      <c r="B33" s="52"/>
      <c r="C33" s="53"/>
      <c r="D33" s="54"/>
      <c r="E33" s="52"/>
      <c r="F33" s="53"/>
      <c r="G33" s="54"/>
      <c r="H33" s="52"/>
      <c r="I33" s="53"/>
      <c r="J33" s="54"/>
      <c r="K33" s="52"/>
      <c r="L33" s="53"/>
      <c r="M33" s="54"/>
      <c r="N33" s="52"/>
      <c r="O33" s="53"/>
      <c r="P33" s="54"/>
      <c r="Q33" s="94">
        <f t="shared" ref="Q33:Q67" si="10">MAX(0,$Y$4+$Y$3*ROW())*$Y$9 + IF(ROW()&gt;=$Y$15,$Y$16,0) + IF(ROW()&gt;=$Y$20,$Y$21,0)</f>
        <v>3.5645231527093593</v>
      </c>
      <c r="R33" s="95">
        <f t="shared" ref="R33:R67" si="11">MAX(0,$Y$4+$Y$3*ROW())*$Y$10</f>
        <v>0.13695467980295564</v>
      </c>
      <c r="S33" s="96">
        <f t="shared" ref="S33:S67" si="12">(MAX(0,$Y$4+$Y$3*ROW())*$Y$9)*$Y$11 + IF(ROW()&gt;=$Y$15,$Y$16*$Y$17,0) + IF(ROW()&gt;=$Y$20,$Y$21*$Y$22,0)</f>
        <v>2833.7959064039405</v>
      </c>
      <c r="T33" s="97">
        <f t="shared" ref="T33:T67" si="13">R33*$Y$12</f>
        <v>205.43201970443346</v>
      </c>
      <c r="U33" s="55">
        <f t="shared" ref="U33:U67" si="14">SUM(Q33:R33)</f>
        <v>3.7014778325123148</v>
      </c>
      <c r="V33" s="56">
        <f t="shared" ref="V33:V67" si="15">SUM(S33:T33)</f>
        <v>3039.227926108374</v>
      </c>
      <c r="W33" s="34" t="s">
        <v>23</v>
      </c>
      <c r="AB33">
        <f t="shared" ref="AB33:AB67" si="16">U33</f>
        <v>3.7014778325123148</v>
      </c>
      <c r="AD33">
        <f t="shared" ref="AD33:AD67" si="17">V33</f>
        <v>3039.227926108374</v>
      </c>
    </row>
    <row r="34" spans="1:30" ht="19.5" thickBot="1" x14ac:dyDescent="0.35">
      <c r="A34" s="57">
        <v>46146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94">
        <f t="shared" si="10"/>
        <v>3.6233467980295564</v>
      </c>
      <c r="R34" s="95">
        <f t="shared" si="11"/>
        <v>0.13921477832512313</v>
      </c>
      <c r="S34" s="96">
        <f t="shared" si="12"/>
        <v>2880.5607044334974</v>
      </c>
      <c r="T34" s="97">
        <f t="shared" si="13"/>
        <v>208.82216748768471</v>
      </c>
      <c r="U34" s="55">
        <f t="shared" si="14"/>
        <v>3.7625615763546794</v>
      </c>
      <c r="V34" s="56">
        <f t="shared" si="15"/>
        <v>3089.382871921182</v>
      </c>
      <c r="W34" s="34" t="s">
        <v>23</v>
      </c>
      <c r="AB34">
        <f t="shared" si="16"/>
        <v>3.7625615763546794</v>
      </c>
      <c r="AD34">
        <f t="shared" si="17"/>
        <v>3089.382871921182</v>
      </c>
    </row>
    <row r="35" spans="1:30" ht="19.5" thickBot="1" x14ac:dyDescent="0.35">
      <c r="A35" s="57">
        <v>46153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94">
        <f t="shared" si="10"/>
        <v>3.6821704433497535</v>
      </c>
      <c r="R35" s="95">
        <f t="shared" si="11"/>
        <v>0.14147487684729063</v>
      </c>
      <c r="S35" s="96">
        <f t="shared" si="12"/>
        <v>2927.3255024630539</v>
      </c>
      <c r="T35" s="97">
        <f t="shared" si="13"/>
        <v>212.21231527093593</v>
      </c>
      <c r="U35" s="55">
        <f t="shared" si="14"/>
        <v>3.823645320197044</v>
      </c>
      <c r="V35" s="56">
        <f t="shared" si="15"/>
        <v>3139.5378177339899</v>
      </c>
      <c r="W35" s="34" t="s">
        <v>23</v>
      </c>
      <c r="AB35">
        <f t="shared" si="16"/>
        <v>3.823645320197044</v>
      </c>
      <c r="AD35">
        <f t="shared" si="17"/>
        <v>3139.5378177339899</v>
      </c>
    </row>
    <row r="36" spans="1:30" ht="19.5" thickBot="1" x14ac:dyDescent="0.35">
      <c r="A36" s="57">
        <v>46160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94">
        <f t="shared" si="10"/>
        <v>3.7409940886699506</v>
      </c>
      <c r="R36" s="95">
        <f t="shared" si="11"/>
        <v>0.14373497536945812</v>
      </c>
      <c r="S36" s="96">
        <f t="shared" si="12"/>
        <v>2974.0903004926108</v>
      </c>
      <c r="T36" s="97">
        <f t="shared" si="13"/>
        <v>215.60246305418718</v>
      </c>
      <c r="U36" s="55">
        <f t="shared" si="14"/>
        <v>3.8847290640394085</v>
      </c>
      <c r="V36" s="56">
        <f t="shared" si="15"/>
        <v>3189.6927635467982</v>
      </c>
      <c r="W36" s="34" t="s">
        <v>23</v>
      </c>
      <c r="AB36">
        <f t="shared" si="16"/>
        <v>3.8847290640394085</v>
      </c>
      <c r="AD36">
        <f t="shared" si="17"/>
        <v>3189.6927635467982</v>
      </c>
    </row>
    <row r="37" spans="1:30" ht="19.5" thickBot="1" x14ac:dyDescent="0.35">
      <c r="A37" s="57">
        <v>46167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94">
        <f t="shared" si="10"/>
        <v>3.7998177339901473</v>
      </c>
      <c r="R37" s="95">
        <f t="shared" si="11"/>
        <v>0.14599507389162561</v>
      </c>
      <c r="S37" s="96">
        <f t="shared" si="12"/>
        <v>3020.8550985221673</v>
      </c>
      <c r="T37" s="97">
        <f t="shared" si="13"/>
        <v>218.99261083743841</v>
      </c>
      <c r="U37" s="55">
        <f t="shared" si="14"/>
        <v>3.9458128078817731</v>
      </c>
      <c r="V37" s="56">
        <f t="shared" si="15"/>
        <v>3239.8477093596057</v>
      </c>
      <c r="W37" s="34" t="s">
        <v>23</v>
      </c>
      <c r="AB37">
        <f t="shared" si="16"/>
        <v>3.9458128078817731</v>
      </c>
      <c r="AD37">
        <f t="shared" si="17"/>
        <v>3239.8477093596057</v>
      </c>
    </row>
    <row r="38" spans="1:30" ht="19.5" thickBot="1" x14ac:dyDescent="0.35">
      <c r="A38" s="57">
        <v>46174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94">
        <f t="shared" si="10"/>
        <v>3.8586413793103445</v>
      </c>
      <c r="R38" s="95">
        <f t="shared" si="11"/>
        <v>0.1482551724137931</v>
      </c>
      <c r="S38" s="96">
        <f t="shared" si="12"/>
        <v>3067.6198965517237</v>
      </c>
      <c r="T38" s="97">
        <f t="shared" si="13"/>
        <v>222.38275862068966</v>
      </c>
      <c r="U38" s="55">
        <f t="shared" si="14"/>
        <v>4.0068965517241377</v>
      </c>
      <c r="V38" s="56">
        <f t="shared" si="15"/>
        <v>3290.0026551724136</v>
      </c>
      <c r="W38" s="34" t="s">
        <v>23</v>
      </c>
      <c r="AB38">
        <f t="shared" si="16"/>
        <v>4.0068965517241377</v>
      </c>
      <c r="AD38">
        <f t="shared" si="17"/>
        <v>3290.0026551724136</v>
      </c>
    </row>
    <row r="39" spans="1:30" ht="19.5" thickBot="1" x14ac:dyDescent="0.35">
      <c r="A39" s="57">
        <v>46181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94">
        <f t="shared" si="10"/>
        <v>3.9174650246305416</v>
      </c>
      <c r="R39" s="95">
        <f t="shared" si="11"/>
        <v>0.15051527093596057</v>
      </c>
      <c r="S39" s="96">
        <f t="shared" si="12"/>
        <v>3114.3846945812807</v>
      </c>
      <c r="T39" s="97">
        <f t="shared" si="13"/>
        <v>225.77290640394085</v>
      </c>
      <c r="U39" s="55">
        <f t="shared" si="14"/>
        <v>4.0679802955665023</v>
      </c>
      <c r="V39" s="56">
        <f t="shared" si="15"/>
        <v>3340.1576009852215</v>
      </c>
      <c r="W39" s="34" t="s">
        <v>23</v>
      </c>
      <c r="AB39">
        <f t="shared" si="16"/>
        <v>4.0679802955665023</v>
      </c>
      <c r="AD39">
        <f t="shared" si="17"/>
        <v>3340.1576009852215</v>
      </c>
    </row>
    <row r="40" spans="1:30" ht="19.5" thickBot="1" x14ac:dyDescent="0.35">
      <c r="A40" s="57">
        <v>46188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94">
        <f t="shared" si="10"/>
        <v>3.9762886699507387</v>
      </c>
      <c r="R40" s="95">
        <f t="shared" si="11"/>
        <v>0.15277536945812806</v>
      </c>
      <c r="S40" s="96">
        <f t="shared" si="12"/>
        <v>3161.1494926108371</v>
      </c>
      <c r="T40" s="97">
        <f t="shared" si="13"/>
        <v>229.16305418719207</v>
      </c>
      <c r="U40" s="55">
        <f t="shared" si="14"/>
        <v>4.1290640394088669</v>
      </c>
      <c r="V40" s="56">
        <f t="shared" si="15"/>
        <v>3390.312546798029</v>
      </c>
      <c r="W40" s="34" t="s">
        <v>23</v>
      </c>
      <c r="AB40">
        <f t="shared" si="16"/>
        <v>4.1290640394088669</v>
      </c>
      <c r="AD40">
        <f t="shared" si="17"/>
        <v>3390.312546798029</v>
      </c>
    </row>
    <row r="41" spans="1:30" ht="19.5" thickBot="1" x14ac:dyDescent="0.35">
      <c r="A41" s="57">
        <v>46195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94">
        <f t="shared" si="10"/>
        <v>4.0351123152709354</v>
      </c>
      <c r="R41" s="95">
        <f t="shared" si="11"/>
        <v>0.15503546798029555</v>
      </c>
      <c r="S41" s="96">
        <f t="shared" si="12"/>
        <v>3207.9142906403936</v>
      </c>
      <c r="T41" s="97">
        <f t="shared" si="13"/>
        <v>232.55320197044333</v>
      </c>
      <c r="U41" s="55">
        <f t="shared" si="14"/>
        <v>4.1901477832512306</v>
      </c>
      <c r="V41" s="56">
        <f t="shared" si="15"/>
        <v>3440.4674926108369</v>
      </c>
      <c r="W41" s="34" t="s">
        <v>23</v>
      </c>
      <c r="AB41">
        <f t="shared" si="16"/>
        <v>4.1901477832512306</v>
      </c>
      <c r="AD41">
        <f t="shared" si="17"/>
        <v>3440.4674926108369</v>
      </c>
    </row>
    <row r="42" spans="1:30" ht="19.5" thickBot="1" x14ac:dyDescent="0.35">
      <c r="A42" s="57">
        <v>46202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94">
        <f t="shared" si="10"/>
        <v>4.093935960591133</v>
      </c>
      <c r="R42" s="95">
        <f t="shared" si="11"/>
        <v>0.15729556650246304</v>
      </c>
      <c r="S42" s="96">
        <f t="shared" si="12"/>
        <v>3254.6790886699505</v>
      </c>
      <c r="T42" s="97">
        <f t="shared" si="13"/>
        <v>235.94334975369455</v>
      </c>
      <c r="U42" s="55">
        <f t="shared" si="14"/>
        <v>4.2512315270935961</v>
      </c>
      <c r="V42" s="56">
        <f t="shared" si="15"/>
        <v>3490.6224384236452</v>
      </c>
      <c r="W42" s="34" t="s">
        <v>23</v>
      </c>
      <c r="AB42">
        <f t="shared" si="16"/>
        <v>4.2512315270935961</v>
      </c>
      <c r="AD42">
        <f t="shared" si="17"/>
        <v>3490.6224384236452</v>
      </c>
    </row>
    <row r="43" spans="1:30" ht="19.5" thickBot="1" x14ac:dyDescent="0.35">
      <c r="A43" s="57">
        <v>46209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94">
        <f t="shared" si="10"/>
        <v>4.1527596059113296</v>
      </c>
      <c r="R43" s="95">
        <f t="shared" si="11"/>
        <v>0.15955566502463053</v>
      </c>
      <c r="S43" s="96">
        <f t="shared" si="12"/>
        <v>3301.4438866995069</v>
      </c>
      <c r="T43" s="97">
        <f t="shared" si="13"/>
        <v>239.3334975369458</v>
      </c>
      <c r="U43" s="55">
        <f t="shared" si="14"/>
        <v>4.3123152709359598</v>
      </c>
      <c r="V43" s="56">
        <f t="shared" si="15"/>
        <v>3540.7773842364527</v>
      </c>
      <c r="W43" s="34" t="s">
        <v>23</v>
      </c>
      <c r="AB43">
        <f t="shared" si="16"/>
        <v>4.3123152709359598</v>
      </c>
      <c r="AD43">
        <f t="shared" si="17"/>
        <v>3540.7773842364527</v>
      </c>
    </row>
    <row r="44" spans="1:30" ht="19.5" thickBot="1" x14ac:dyDescent="0.35">
      <c r="A44" s="57">
        <v>46216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94">
        <f t="shared" si="10"/>
        <v>4.2115832512315272</v>
      </c>
      <c r="R44" s="95">
        <f t="shared" si="11"/>
        <v>0.16181576354679802</v>
      </c>
      <c r="S44" s="96">
        <f t="shared" si="12"/>
        <v>3348.2086847290643</v>
      </c>
      <c r="T44" s="97">
        <f t="shared" si="13"/>
        <v>242.72364532019705</v>
      </c>
      <c r="U44" s="55">
        <f t="shared" si="14"/>
        <v>4.3733990147783253</v>
      </c>
      <c r="V44" s="56">
        <f t="shared" si="15"/>
        <v>3590.9323300492615</v>
      </c>
      <c r="W44" s="34" t="s">
        <v>23</v>
      </c>
      <c r="AB44">
        <f t="shared" si="16"/>
        <v>4.3733990147783253</v>
      </c>
      <c r="AD44">
        <f t="shared" si="17"/>
        <v>3590.9323300492615</v>
      </c>
    </row>
    <row r="45" spans="1:30" ht="19.5" thickBot="1" x14ac:dyDescent="0.35">
      <c r="A45" s="57">
        <v>46223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94">
        <f t="shared" si="10"/>
        <v>4.270406896551723</v>
      </c>
      <c r="R45" s="95">
        <f t="shared" si="11"/>
        <v>0.16407586206896549</v>
      </c>
      <c r="S45" s="96">
        <f t="shared" si="12"/>
        <v>3394.9734827586199</v>
      </c>
      <c r="T45" s="97">
        <f t="shared" si="13"/>
        <v>246.11379310344824</v>
      </c>
      <c r="U45" s="55">
        <f t="shared" si="14"/>
        <v>4.4344827586206881</v>
      </c>
      <c r="V45" s="56">
        <f t="shared" si="15"/>
        <v>3641.0872758620681</v>
      </c>
      <c r="W45" s="34" t="s">
        <v>23</v>
      </c>
      <c r="AB45">
        <f t="shared" si="16"/>
        <v>4.4344827586206881</v>
      </c>
      <c r="AD45">
        <f t="shared" si="17"/>
        <v>3641.0872758620681</v>
      </c>
    </row>
    <row r="46" spans="1:30" ht="19.5" thickBot="1" x14ac:dyDescent="0.35">
      <c r="A46" s="57">
        <v>46230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94">
        <f t="shared" si="10"/>
        <v>4.3292305418719215</v>
      </c>
      <c r="R46" s="95">
        <f t="shared" si="11"/>
        <v>0.16633596059113301</v>
      </c>
      <c r="S46" s="96">
        <f t="shared" si="12"/>
        <v>3441.7382807881777</v>
      </c>
      <c r="T46" s="97">
        <f t="shared" si="13"/>
        <v>249.50394088669952</v>
      </c>
      <c r="U46" s="55">
        <f t="shared" si="14"/>
        <v>4.4955665024630544</v>
      </c>
      <c r="V46" s="56">
        <f t="shared" si="15"/>
        <v>3691.2422216748773</v>
      </c>
      <c r="W46" s="34" t="s">
        <v>23</v>
      </c>
      <c r="AB46">
        <f t="shared" si="16"/>
        <v>4.4955665024630544</v>
      </c>
      <c r="AD46">
        <f t="shared" si="17"/>
        <v>3691.2422216748773</v>
      </c>
    </row>
    <row r="47" spans="1:30" ht="19.5" thickBot="1" x14ac:dyDescent="0.35">
      <c r="A47" s="57">
        <v>46237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94">
        <f t="shared" si="10"/>
        <v>4.3880541871921173</v>
      </c>
      <c r="R47" s="95">
        <f t="shared" si="11"/>
        <v>0.16859605911330047</v>
      </c>
      <c r="S47" s="96">
        <f t="shared" si="12"/>
        <v>3488.5030788177332</v>
      </c>
      <c r="T47" s="97">
        <f t="shared" si="13"/>
        <v>252.89408866995072</v>
      </c>
      <c r="U47" s="55">
        <f t="shared" si="14"/>
        <v>4.5566502463054182</v>
      </c>
      <c r="V47" s="56">
        <f t="shared" si="15"/>
        <v>3741.3971674876839</v>
      </c>
      <c r="W47" s="34" t="s">
        <v>23</v>
      </c>
      <c r="AB47">
        <f t="shared" si="16"/>
        <v>4.5566502463054182</v>
      </c>
      <c r="AD47">
        <f t="shared" si="17"/>
        <v>3741.3971674876839</v>
      </c>
    </row>
    <row r="48" spans="1:30" ht="19.5" thickBot="1" x14ac:dyDescent="0.35">
      <c r="A48" s="57">
        <v>46244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94">
        <f t="shared" si="10"/>
        <v>4.4468778325123157</v>
      </c>
      <c r="R48" s="95">
        <f t="shared" si="11"/>
        <v>0.17085615763546799</v>
      </c>
      <c r="S48" s="96">
        <f t="shared" si="12"/>
        <v>3535.2678768472911</v>
      </c>
      <c r="T48" s="97">
        <f t="shared" si="13"/>
        <v>256.28423645320197</v>
      </c>
      <c r="U48" s="55">
        <f t="shared" si="14"/>
        <v>4.6177339901477836</v>
      </c>
      <c r="V48" s="56">
        <f t="shared" si="15"/>
        <v>3791.5521133004931</v>
      </c>
      <c r="W48" s="34" t="s">
        <v>23</v>
      </c>
      <c r="AB48">
        <f t="shared" si="16"/>
        <v>4.6177339901477836</v>
      </c>
      <c r="AD48">
        <f t="shared" si="17"/>
        <v>3791.5521133004931</v>
      </c>
    </row>
    <row r="49" spans="1:30" ht="19.5" thickBot="1" x14ac:dyDescent="0.35">
      <c r="A49" s="57">
        <v>46251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94">
        <f t="shared" si="10"/>
        <v>4.5057014778325115</v>
      </c>
      <c r="R49" s="95">
        <f t="shared" si="11"/>
        <v>0.17311625615763546</v>
      </c>
      <c r="S49" s="96">
        <f t="shared" si="12"/>
        <v>3582.0326748768466</v>
      </c>
      <c r="T49" s="97">
        <f t="shared" si="13"/>
        <v>259.67438423645319</v>
      </c>
      <c r="U49" s="55">
        <f t="shared" si="14"/>
        <v>4.6788177339901473</v>
      </c>
      <c r="V49" s="56">
        <f t="shared" si="15"/>
        <v>3841.7070591132997</v>
      </c>
      <c r="W49" s="34" t="s">
        <v>23</v>
      </c>
      <c r="AB49">
        <f t="shared" si="16"/>
        <v>4.6788177339901473</v>
      </c>
      <c r="AD49">
        <f t="shared" si="17"/>
        <v>3841.7070591132997</v>
      </c>
    </row>
    <row r="50" spans="1:30" ht="19.5" thickBot="1" x14ac:dyDescent="0.35">
      <c r="A50" s="57">
        <v>46258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94">
        <f t="shared" si="10"/>
        <v>4.56452512315271</v>
      </c>
      <c r="R50" s="95">
        <f t="shared" si="11"/>
        <v>0.17537635467980298</v>
      </c>
      <c r="S50" s="96">
        <f t="shared" si="12"/>
        <v>3628.7974729064044</v>
      </c>
      <c r="T50" s="97">
        <f t="shared" si="13"/>
        <v>263.06453201970447</v>
      </c>
      <c r="U50" s="55">
        <f t="shared" si="14"/>
        <v>4.7399014778325128</v>
      </c>
      <c r="V50" s="56">
        <f t="shared" si="15"/>
        <v>3891.862004926109</v>
      </c>
      <c r="W50" s="34" t="s">
        <v>23</v>
      </c>
      <c r="AB50">
        <f t="shared" si="16"/>
        <v>4.7399014778325128</v>
      </c>
      <c r="AD50">
        <f t="shared" si="17"/>
        <v>3891.862004926109</v>
      </c>
    </row>
    <row r="51" spans="1:30" ht="19.5" thickBot="1" x14ac:dyDescent="0.35">
      <c r="A51" s="57">
        <v>46265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94">
        <f t="shared" si="10"/>
        <v>4.6233487684729058</v>
      </c>
      <c r="R51" s="95">
        <f t="shared" si="11"/>
        <v>0.17763645320197041</v>
      </c>
      <c r="S51" s="96">
        <f t="shared" si="12"/>
        <v>3675.56227093596</v>
      </c>
      <c r="T51" s="97">
        <f t="shared" si="13"/>
        <v>266.45467980295564</v>
      </c>
      <c r="U51" s="55">
        <f t="shared" si="14"/>
        <v>4.8009852216748765</v>
      </c>
      <c r="V51" s="56">
        <f t="shared" si="15"/>
        <v>3942.0169507389155</v>
      </c>
      <c r="W51" s="34" t="s">
        <v>23</v>
      </c>
      <c r="AB51">
        <f t="shared" si="16"/>
        <v>4.8009852216748765</v>
      </c>
      <c r="AD51">
        <f t="shared" si="17"/>
        <v>3942.0169507389155</v>
      </c>
    </row>
    <row r="52" spans="1:30" ht="19.5" thickBot="1" x14ac:dyDescent="0.35">
      <c r="A52" s="57">
        <v>46272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94">
        <f t="shared" si="10"/>
        <v>4.6821724137931042</v>
      </c>
      <c r="R52" s="95">
        <f t="shared" si="11"/>
        <v>0.17989655172413793</v>
      </c>
      <c r="S52" s="96">
        <f t="shared" si="12"/>
        <v>3722.3270689655178</v>
      </c>
      <c r="T52" s="97">
        <f t="shared" si="13"/>
        <v>269.84482758620692</v>
      </c>
      <c r="U52" s="55">
        <f t="shared" si="14"/>
        <v>4.862068965517242</v>
      </c>
      <c r="V52" s="56">
        <f t="shared" si="15"/>
        <v>3992.1718965517248</v>
      </c>
      <c r="W52" s="34" t="s">
        <v>23</v>
      </c>
      <c r="AB52">
        <f t="shared" si="16"/>
        <v>4.862068965517242</v>
      </c>
      <c r="AD52">
        <f t="shared" si="17"/>
        <v>3992.1718965517248</v>
      </c>
    </row>
    <row r="53" spans="1:30" ht="19.5" thickBot="1" x14ac:dyDescent="0.35">
      <c r="A53" s="57">
        <v>46279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94">
        <f t="shared" si="10"/>
        <v>4.7409960591133</v>
      </c>
      <c r="R53" s="95">
        <f t="shared" si="11"/>
        <v>0.1821566502463054</v>
      </c>
      <c r="S53" s="96">
        <f t="shared" si="12"/>
        <v>3769.0918669950734</v>
      </c>
      <c r="T53" s="97">
        <f t="shared" si="13"/>
        <v>273.23497536945808</v>
      </c>
      <c r="U53" s="55">
        <f t="shared" si="14"/>
        <v>4.9231527093596057</v>
      </c>
      <c r="V53" s="56">
        <f t="shared" si="15"/>
        <v>4042.3268423645313</v>
      </c>
      <c r="W53" s="34" t="s">
        <v>23</v>
      </c>
      <c r="AB53">
        <f t="shared" si="16"/>
        <v>4.9231527093596057</v>
      </c>
      <c r="AD53">
        <f t="shared" si="17"/>
        <v>4042.3268423645313</v>
      </c>
    </row>
    <row r="54" spans="1:30" ht="19.5" thickBot="1" x14ac:dyDescent="0.35">
      <c r="A54" s="57">
        <v>46286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94">
        <f t="shared" si="10"/>
        <v>4.7998197044334976</v>
      </c>
      <c r="R54" s="95">
        <f t="shared" si="11"/>
        <v>0.18441674876847289</v>
      </c>
      <c r="S54" s="96">
        <f t="shared" si="12"/>
        <v>3815.8566650246307</v>
      </c>
      <c r="T54" s="97">
        <f t="shared" si="13"/>
        <v>276.62512315270931</v>
      </c>
      <c r="U54" s="55">
        <f t="shared" si="14"/>
        <v>4.9842364532019703</v>
      </c>
      <c r="V54" s="56">
        <f t="shared" si="15"/>
        <v>4092.4817881773401</v>
      </c>
      <c r="W54" s="34" t="s">
        <v>23</v>
      </c>
      <c r="AB54">
        <f t="shared" si="16"/>
        <v>4.9842364532019703</v>
      </c>
      <c r="AD54">
        <f t="shared" si="17"/>
        <v>4092.4817881773401</v>
      </c>
    </row>
    <row r="55" spans="1:30" ht="19.5" thickBot="1" x14ac:dyDescent="0.35">
      <c r="A55" s="57">
        <v>46293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94">
        <f t="shared" si="10"/>
        <v>4.8586433497536943</v>
      </c>
      <c r="R55" s="95">
        <f t="shared" si="11"/>
        <v>0.18667684729064038</v>
      </c>
      <c r="S55" s="96">
        <f t="shared" si="12"/>
        <v>3862.6214630541867</v>
      </c>
      <c r="T55" s="97">
        <f t="shared" si="13"/>
        <v>280.01527093596059</v>
      </c>
      <c r="U55" s="55">
        <f t="shared" si="14"/>
        <v>5.0453201970443349</v>
      </c>
      <c r="V55" s="56">
        <f t="shared" si="15"/>
        <v>4142.6367339901471</v>
      </c>
      <c r="W55" s="34" t="s">
        <v>23</v>
      </c>
      <c r="AB55">
        <f t="shared" si="16"/>
        <v>5.0453201970443349</v>
      </c>
      <c r="AD55">
        <f t="shared" si="17"/>
        <v>4142.6367339901471</v>
      </c>
    </row>
    <row r="56" spans="1:30" ht="19.5" thickBot="1" x14ac:dyDescent="0.35">
      <c r="A56" s="57">
        <v>46300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94">
        <f t="shared" si="10"/>
        <v>4.9174669950738918</v>
      </c>
      <c r="R56" s="95">
        <f t="shared" si="11"/>
        <v>0.18893694581280787</v>
      </c>
      <c r="S56" s="96">
        <f t="shared" si="12"/>
        <v>3909.3862610837441</v>
      </c>
      <c r="T56" s="97">
        <f t="shared" si="13"/>
        <v>283.40541871921181</v>
      </c>
      <c r="U56" s="55">
        <f t="shared" si="14"/>
        <v>5.1064039408866995</v>
      </c>
      <c r="V56" s="56">
        <f t="shared" si="15"/>
        <v>4192.7916798029555</v>
      </c>
      <c r="W56" s="34" t="s">
        <v>23</v>
      </c>
      <c r="AB56">
        <f t="shared" si="16"/>
        <v>5.1064039408866995</v>
      </c>
      <c r="AD56">
        <f t="shared" si="17"/>
        <v>4192.7916798029555</v>
      </c>
    </row>
    <row r="57" spans="1:30" ht="19.5" thickBot="1" x14ac:dyDescent="0.35">
      <c r="A57" s="57">
        <v>46307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94">
        <f t="shared" si="10"/>
        <v>4.9762906403940885</v>
      </c>
      <c r="R57" s="95">
        <f t="shared" si="11"/>
        <v>0.19119704433497536</v>
      </c>
      <c r="S57" s="96">
        <f t="shared" si="12"/>
        <v>3956.1510591133006</v>
      </c>
      <c r="T57" s="97">
        <f t="shared" si="13"/>
        <v>286.79556650246303</v>
      </c>
      <c r="U57" s="55">
        <f t="shared" si="14"/>
        <v>5.1674876847290641</v>
      </c>
      <c r="V57" s="56">
        <f t="shared" si="15"/>
        <v>4242.9466256157639</v>
      </c>
      <c r="W57" s="34" t="s">
        <v>23</v>
      </c>
      <c r="AB57">
        <f t="shared" si="16"/>
        <v>5.1674876847290641</v>
      </c>
      <c r="AD57">
        <f t="shared" si="17"/>
        <v>4242.9466256157639</v>
      </c>
    </row>
    <row r="58" spans="1:30" ht="19.5" thickBot="1" x14ac:dyDescent="0.35">
      <c r="A58" s="57">
        <v>46314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94">
        <f t="shared" si="10"/>
        <v>5.0351142857142852</v>
      </c>
      <c r="R58" s="95">
        <f t="shared" si="11"/>
        <v>0.19345714285714286</v>
      </c>
      <c r="S58" s="96">
        <f t="shared" si="12"/>
        <v>4002.9158571428566</v>
      </c>
      <c r="T58" s="97">
        <f t="shared" si="13"/>
        <v>290.18571428571425</v>
      </c>
      <c r="U58" s="55">
        <f t="shared" si="14"/>
        <v>5.2285714285714278</v>
      </c>
      <c r="V58" s="56">
        <f t="shared" si="15"/>
        <v>4293.1015714285704</v>
      </c>
      <c r="W58" s="34" t="s">
        <v>23</v>
      </c>
      <c r="AB58">
        <f t="shared" si="16"/>
        <v>5.2285714285714278</v>
      </c>
      <c r="AD58">
        <f t="shared" si="17"/>
        <v>4293.1015714285704</v>
      </c>
    </row>
    <row r="59" spans="1:30" ht="19.5" thickBot="1" x14ac:dyDescent="0.35">
      <c r="A59" s="57">
        <v>46321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94">
        <f t="shared" si="10"/>
        <v>5.0939379310344828</v>
      </c>
      <c r="R59" s="95">
        <f t="shared" si="11"/>
        <v>0.19571724137931035</v>
      </c>
      <c r="S59" s="96">
        <f t="shared" si="12"/>
        <v>4049.6806551724139</v>
      </c>
      <c r="T59" s="97">
        <f t="shared" si="13"/>
        <v>293.57586206896553</v>
      </c>
      <c r="U59" s="55">
        <f t="shared" si="14"/>
        <v>5.2896551724137932</v>
      </c>
      <c r="V59" s="56">
        <f t="shared" si="15"/>
        <v>4343.2565172413797</v>
      </c>
      <c r="W59" s="34" t="s">
        <v>23</v>
      </c>
      <c r="AB59">
        <f t="shared" si="16"/>
        <v>5.2896551724137932</v>
      </c>
      <c r="AD59">
        <f t="shared" si="17"/>
        <v>4343.2565172413797</v>
      </c>
    </row>
    <row r="60" spans="1:30" ht="19.5" thickBot="1" x14ac:dyDescent="0.35">
      <c r="A60" s="57">
        <v>46328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94">
        <f t="shared" si="10"/>
        <v>5.1527615763546786</v>
      </c>
      <c r="R60" s="95">
        <f t="shared" si="11"/>
        <v>0.19797733990147778</v>
      </c>
      <c r="S60" s="96">
        <f t="shared" si="12"/>
        <v>4096.445453201969</v>
      </c>
      <c r="T60" s="97">
        <f t="shared" si="13"/>
        <v>296.9660098522167</v>
      </c>
      <c r="U60" s="55">
        <f t="shared" si="14"/>
        <v>5.3507389162561561</v>
      </c>
      <c r="V60" s="56">
        <f t="shared" si="15"/>
        <v>4393.4114630541853</v>
      </c>
      <c r="W60" s="34" t="s">
        <v>23</v>
      </c>
      <c r="AB60">
        <f t="shared" si="16"/>
        <v>5.3507389162561561</v>
      </c>
      <c r="AD60">
        <f t="shared" si="17"/>
        <v>4393.4114630541853</v>
      </c>
    </row>
    <row r="61" spans="1:30" ht="19.5" thickBot="1" x14ac:dyDescent="0.35">
      <c r="A61" s="57">
        <v>46335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94">
        <f t="shared" si="10"/>
        <v>5.211585221674877</v>
      </c>
      <c r="R61" s="95">
        <f t="shared" si="11"/>
        <v>0.20023743842364533</v>
      </c>
      <c r="S61" s="96">
        <f t="shared" si="12"/>
        <v>4143.2102512315269</v>
      </c>
      <c r="T61" s="97">
        <f t="shared" si="13"/>
        <v>300.35615763546798</v>
      </c>
      <c r="U61" s="55">
        <f t="shared" si="14"/>
        <v>5.4118226600985224</v>
      </c>
      <c r="V61" s="56">
        <f t="shared" si="15"/>
        <v>4443.5664088669946</v>
      </c>
      <c r="W61" s="34" t="s">
        <v>23</v>
      </c>
      <c r="AB61">
        <f t="shared" si="16"/>
        <v>5.4118226600985224</v>
      </c>
      <c r="AD61">
        <f t="shared" si="17"/>
        <v>4443.5664088669946</v>
      </c>
    </row>
    <row r="62" spans="1:30" ht="19.5" thickBot="1" x14ac:dyDescent="0.35">
      <c r="A62" s="57">
        <v>46342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94">
        <f t="shared" si="10"/>
        <v>5.2704088669950728</v>
      </c>
      <c r="R62" s="95">
        <f t="shared" si="11"/>
        <v>0.20249753694581277</v>
      </c>
      <c r="S62" s="96">
        <f t="shared" si="12"/>
        <v>4189.9750492610829</v>
      </c>
      <c r="T62" s="97">
        <f t="shared" si="13"/>
        <v>303.74630541871915</v>
      </c>
      <c r="U62" s="55">
        <f t="shared" si="14"/>
        <v>5.4729064039408852</v>
      </c>
      <c r="V62" s="56">
        <f t="shared" si="15"/>
        <v>4493.7213546798021</v>
      </c>
      <c r="W62" s="34" t="s">
        <v>23</v>
      </c>
      <c r="AB62">
        <f t="shared" si="16"/>
        <v>5.4729064039408852</v>
      </c>
      <c r="AD62">
        <f t="shared" si="17"/>
        <v>4493.7213546798021</v>
      </c>
    </row>
    <row r="63" spans="1:30" ht="19.5" thickBot="1" x14ac:dyDescent="0.35">
      <c r="A63" s="57">
        <v>46349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94">
        <f t="shared" si="10"/>
        <v>5.3292325123152713</v>
      </c>
      <c r="R63" s="95">
        <f t="shared" si="11"/>
        <v>0.20475763546798029</v>
      </c>
      <c r="S63" s="96">
        <f t="shared" si="12"/>
        <v>4236.7398472906407</v>
      </c>
      <c r="T63" s="97">
        <f t="shared" si="13"/>
        <v>307.13645320197043</v>
      </c>
      <c r="U63" s="55">
        <f t="shared" si="14"/>
        <v>5.5339901477832516</v>
      </c>
      <c r="V63" s="56">
        <f t="shared" si="15"/>
        <v>4543.8763004926113</v>
      </c>
      <c r="W63" s="34" t="s">
        <v>23</v>
      </c>
      <c r="AB63">
        <f t="shared" si="16"/>
        <v>5.5339901477832516</v>
      </c>
      <c r="AD63">
        <f t="shared" si="17"/>
        <v>4543.8763004926113</v>
      </c>
    </row>
    <row r="64" spans="1:30" ht="19.5" thickBot="1" x14ac:dyDescent="0.35">
      <c r="A64" s="57">
        <v>46356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94">
        <f t="shared" si="10"/>
        <v>5.3880561576354671</v>
      </c>
      <c r="R64" s="95">
        <f t="shared" si="11"/>
        <v>0.20701773399014775</v>
      </c>
      <c r="S64" s="96">
        <f t="shared" si="12"/>
        <v>4283.5046453201967</v>
      </c>
      <c r="T64" s="97">
        <f t="shared" si="13"/>
        <v>310.52660098522165</v>
      </c>
      <c r="U64" s="55">
        <f t="shared" si="14"/>
        <v>5.5950738916256144</v>
      </c>
      <c r="V64" s="56">
        <f t="shared" si="15"/>
        <v>4594.0312463054179</v>
      </c>
      <c r="W64" s="34" t="s">
        <v>23</v>
      </c>
      <c r="AB64">
        <f t="shared" si="16"/>
        <v>5.5950738916256144</v>
      </c>
      <c r="AD64">
        <f t="shared" si="17"/>
        <v>4594.0312463054179</v>
      </c>
    </row>
    <row r="65" spans="1:30" ht="19.5" thickBot="1" x14ac:dyDescent="0.35">
      <c r="A65" s="57">
        <v>46363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94">
        <f t="shared" si="10"/>
        <v>5.4468798029556655</v>
      </c>
      <c r="R65" s="95">
        <f t="shared" si="11"/>
        <v>0.20927783251231527</v>
      </c>
      <c r="S65" s="96">
        <f t="shared" si="12"/>
        <v>4330.2694433497545</v>
      </c>
      <c r="T65" s="97">
        <f t="shared" si="13"/>
        <v>313.91674876847293</v>
      </c>
      <c r="U65" s="55">
        <f t="shared" si="14"/>
        <v>5.6561576354679808</v>
      </c>
      <c r="V65" s="56">
        <f t="shared" si="15"/>
        <v>4644.1861921182272</v>
      </c>
      <c r="W65" s="34" t="s">
        <v>23</v>
      </c>
      <c r="AB65">
        <f t="shared" si="16"/>
        <v>5.6561576354679808</v>
      </c>
      <c r="AD65">
        <f t="shared" si="17"/>
        <v>4644.1861921182272</v>
      </c>
    </row>
    <row r="66" spans="1:30" ht="19.5" thickBot="1" x14ac:dyDescent="0.35">
      <c r="A66" s="57">
        <v>46370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94">
        <f t="shared" si="10"/>
        <v>5.5057034482758613</v>
      </c>
      <c r="R66" s="95">
        <f t="shared" si="11"/>
        <v>0.21153793103448273</v>
      </c>
      <c r="S66" s="96">
        <f t="shared" si="12"/>
        <v>4377.0342413793096</v>
      </c>
      <c r="T66" s="97">
        <f t="shared" si="13"/>
        <v>317.30689655172409</v>
      </c>
      <c r="U66" s="55">
        <f t="shared" si="14"/>
        <v>5.7172413793103445</v>
      </c>
      <c r="V66" s="56">
        <f t="shared" si="15"/>
        <v>4694.3411379310337</v>
      </c>
      <c r="W66" s="34" t="s">
        <v>23</v>
      </c>
      <c r="AB66">
        <f t="shared" si="16"/>
        <v>5.7172413793103445</v>
      </c>
      <c r="AD66">
        <f t="shared" si="17"/>
        <v>4694.3411379310337</v>
      </c>
    </row>
    <row r="67" spans="1:30" ht="18.75" x14ac:dyDescent="0.3">
      <c r="A67" s="59">
        <v>46377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94">
        <f t="shared" si="10"/>
        <v>5.5645270935960598</v>
      </c>
      <c r="R67" s="95">
        <f t="shared" si="11"/>
        <v>0.21379802955665025</v>
      </c>
      <c r="S67" s="96">
        <f t="shared" si="12"/>
        <v>4423.7990394088674</v>
      </c>
      <c r="T67" s="97">
        <f t="shared" si="13"/>
        <v>320.69704433497537</v>
      </c>
      <c r="U67" s="61">
        <f t="shared" si="14"/>
        <v>5.77832512315271</v>
      </c>
      <c r="V67" s="62">
        <f t="shared" si="15"/>
        <v>4744.496083743843</v>
      </c>
      <c r="W67" s="34" t="s">
        <v>23</v>
      </c>
      <c r="AB67">
        <f t="shared" si="16"/>
        <v>5.77832512315271</v>
      </c>
      <c r="AD67">
        <f t="shared" si="17"/>
        <v>4744.496083743843</v>
      </c>
    </row>
    <row r="68" spans="1:30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30" ht="18.75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63" t="s">
        <v>24</v>
      </c>
      <c r="Q69" s="66">
        <f>SUM(Q3:Q31)</f>
        <v>79</v>
      </c>
      <c r="R69" s="67">
        <f>SUM(R3:R31)</f>
        <v>3</v>
      </c>
      <c r="U69" s="66">
        <f>SUM(U3:U31)</f>
        <v>82</v>
      </c>
      <c r="V69" s="68">
        <f>SUM(V3:V31)</f>
        <v>65535</v>
      </c>
    </row>
    <row r="70" spans="1:30" ht="18.75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65" t="s">
        <v>25</v>
      </c>
      <c r="Q70" s="64">
        <f>SUM(Q32:Q67)</f>
        <v>163.26407881773397</v>
      </c>
      <c r="R70" s="64">
        <f>SUM(R32:R67)</f>
        <v>6.2728669950738896</v>
      </c>
      <c r="U70" s="64">
        <f>SUM(U32:U67)</f>
        <v>169.53694581280786</v>
      </c>
      <c r="V70" s="69">
        <f>SUM(V32:V67)</f>
        <v>139204.24315270936</v>
      </c>
    </row>
    <row r="71" spans="1:30" ht="18.75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63" t="s">
        <v>26</v>
      </c>
      <c r="Q71" s="22">
        <f>Q69+Q70</f>
        <v>242.26407881773397</v>
      </c>
      <c r="R71" s="22">
        <f>R69+R70</f>
        <v>9.2728669950738905</v>
      </c>
      <c r="U71" s="22">
        <f>U69+U70</f>
        <v>251.53694581280786</v>
      </c>
      <c r="V71" s="70">
        <f>V69+V70</f>
        <v>204739.24315270936</v>
      </c>
    </row>
    <row r="72" spans="1:30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30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30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30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30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30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30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30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30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</sheetData>
  <mergeCells count="12">
    <mergeCell ref="N1:P1"/>
    <mergeCell ref="A1:A2"/>
    <mergeCell ref="B1:D1"/>
    <mergeCell ref="E1:G1"/>
    <mergeCell ref="H1:J1"/>
    <mergeCell ref="K1:M1"/>
    <mergeCell ref="V1:V2"/>
    <mergeCell ref="Q1:Q2"/>
    <mergeCell ref="R1:R2"/>
    <mergeCell ref="S1:S2"/>
    <mergeCell ref="T1:T2"/>
    <mergeCell ref="U1:U2"/>
  </mergeCells>
  <pageMargins left="0.7" right="0.7" top="0.75" bottom="0.75" header="0.3" footer="0.3"/>
  <pageSetup paperSize="17"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Data and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Estes</dc:creator>
  <cp:lastModifiedBy>Jackson Estes</cp:lastModifiedBy>
  <cp:lastPrinted>2026-01-29T20:21:12Z</cp:lastPrinted>
  <dcterms:created xsi:type="dcterms:W3CDTF">2025-12-18T15:23:19Z</dcterms:created>
  <dcterms:modified xsi:type="dcterms:W3CDTF">2026-04-21T13:41:54Z</dcterms:modified>
</cp:coreProperties>
</file>